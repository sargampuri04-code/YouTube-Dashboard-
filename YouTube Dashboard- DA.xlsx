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sargam\Desktop\"/>
    </mc:Choice>
  </mc:AlternateContent>
  <xr:revisionPtr revIDLastSave="0" documentId="8_{0341F11B-9175-4F95-89ED-92107E10EA0D}" xr6:coauthVersionLast="47" xr6:coauthVersionMax="47" xr10:uidLastSave="{00000000-0000-0000-0000-000000000000}"/>
  <bookViews>
    <workbookView xWindow="-108" yWindow="-108" windowWidth="23256" windowHeight="12456" xr2:uid="{A30FE9F5-B366-4E55-85F6-CBAE7B649A07}"/>
  </bookViews>
  <sheets>
    <sheet name="Sheet1" sheetId="2" r:id="rId1"/>
    <sheet name="YouTube_Shorts_Engagement_and_G" sheetId="1" r:id="rId2"/>
  </sheets>
  <calcPr calcId="0"/>
  <pivotCaches>
    <pivotCache cacheId="4" r:id="rId3"/>
  </pivotCaches>
</workbook>
</file>

<file path=xl/calcChain.xml><?xml version="1.0" encoding="utf-8"?>
<calcChain xmlns="http://schemas.openxmlformats.org/spreadsheetml/2006/main">
  <c r="H28" i="2" l="1"/>
  <c r="A172" i="1"/>
  <c r="A423" i="1"/>
  <c r="A473" i="1"/>
  <c r="A596" i="1"/>
  <c r="A771" i="1"/>
</calcChain>
</file>

<file path=xl/sharedStrings.xml><?xml version="1.0" encoding="utf-8"?>
<sst xmlns="http://schemas.openxmlformats.org/spreadsheetml/2006/main" count="3786" uniqueCount="2980">
  <si>
    <t>Video_ID</t>
  </si>
  <si>
    <t>Title</t>
  </si>
  <si>
    <t>Channel_Name</t>
  </si>
  <si>
    <t>Views</t>
  </si>
  <si>
    <t>Likes</t>
  </si>
  <si>
    <t>Comments</t>
  </si>
  <si>
    <t>Age_In_Days</t>
  </si>
  <si>
    <t>Engagement_Rate_%</t>
  </si>
  <si>
    <t>Views_Per_Day</t>
  </si>
  <si>
    <t>Video_URL</t>
  </si>
  <si>
    <t>Description_Length</t>
  </si>
  <si>
    <t>XcTzxw9JAnM</t>
  </si>
  <si>
    <t>How YouTube Wants You to Make Shorts</t>
  </si>
  <si>
    <t>Think Media</t>
  </si>
  <si>
    <t>https://www.youtube.com/watch?v=XcTzxw9JAnM</t>
  </si>
  <si>
    <t>fKIqusb14E0</t>
  </si>
  <si>
    <t>Most Viewed YouTube Shorts! *VIRAL*</t>
  </si>
  <si>
    <t>Stay Wild Reacts</t>
  </si>
  <si>
    <t>https://www.youtube.com/watch?v=fKIqusb14E0</t>
  </si>
  <si>
    <t>E_goHQxVmb4</t>
  </si>
  <si>
    <t>How to Make Money with YouTube Shorts (Full Guide)</t>
  </si>
  <si>
    <t>Alex Christian</t>
  </si>
  <si>
    <t>https://www.youtube.com/watch?v=E_goHQxVmb4</t>
  </si>
  <si>
    <t>1EAus8qZeyM</t>
  </si>
  <si>
    <t>How to Make a YouTube Short - Complete Beginner Guide</t>
  </si>
  <si>
    <t>vidIQ</t>
  </si>
  <si>
    <t>https://www.youtube.com/watch?v=1EAus8qZeyM</t>
  </si>
  <si>
    <t>oCxrIij2iXo</t>
  </si>
  <si>
    <t>*NEW* Worldâ€™s MOST Viewed YouTube Shorts!</t>
  </si>
  <si>
    <t>MoreAliA</t>
  </si>
  <si>
    <t>https://www.youtube.com/watch?v=oCxrIij2iXo</t>
  </si>
  <si>
    <t>OG8DriyG0xo</t>
  </si>
  <si>
    <t>fastest way to hit $10k/mo with yt shorts (copy me)</t>
  </si>
  <si>
    <t>Kellan Henneberry</t>
  </si>
  <si>
    <t>https://www.youtube.com/watch?v=OG8DriyG0xo</t>
  </si>
  <si>
    <t>aNxphBq2CnE</t>
  </si>
  <si>
    <t>Roasting Cringe YouTube Shorts</t>
  </si>
  <si>
    <t xml:space="preserve">Clouds </t>
  </si>
  <si>
    <t>https://www.youtube.com/watch?v=aNxphBq2CnE</t>
  </si>
  <si>
    <t>Jw541jySrpU</t>
  </si>
  <si>
    <t>Speedrunning 300 YT Shorts (Any% Brainrot WORLD RECORD) (real)</t>
  </si>
  <si>
    <t>Joe Caine</t>
  </si>
  <si>
    <t>https://www.youtube.com/watch?v=Jw541jySrpU</t>
  </si>
  <si>
    <t>Xib-4U5k8_Y</t>
  </si>
  <si>
    <t>#Youtube #funny #fyp #foryou #shorts</t>
  </si>
  <si>
    <t>TrieuHa Dang</t>
  </si>
  <si>
    <t>https://www.youtube.com/watch?v=Xib-4U5k8_Y</t>
  </si>
  <si>
    <t>XRT47Wgito8</t>
  </si>
  <si>
    <t>200 Genius Secrets I Learned on YouTube Shorts!</t>
  </si>
  <si>
    <t>https://www.youtube.com/watch?v=XRT47Wgito8</t>
  </si>
  <si>
    <t>NRBVlE1x5lI</t>
  </si>
  <si>
    <t>I hope she is happy #relatablestories #comedy #funnymemes</t>
  </si>
  <si>
    <t>Tyler Vitelli</t>
  </si>
  <si>
    <t>https://www.youtube.com/shorts/NRBVlE1x5lI</t>
  </si>
  <si>
    <t>suYyZfnrFIU</t>
  </si>
  <si>
    <t>Genius Secrets I Learned on YouTube Shorts!</t>
  </si>
  <si>
    <t>https://www.youtube.com/watch?v=suYyZfnrFIU</t>
  </si>
  <si>
    <t>ygeCgN-SfE8</t>
  </si>
  <si>
    <t>how i make $36,438/mo posting YouTube Shorts (using AI)</t>
  </si>
  <si>
    <t>https://www.youtube.com/watch?v=ygeCgN-SfE8</t>
  </si>
  <si>
    <t>FEDE9Cidt3M</t>
  </si>
  <si>
    <t>I Tried Copying Viral YouTube Shorts for 30 Days (Real Results)</t>
  </si>
  <si>
    <t>Ollex</t>
  </si>
  <si>
    <t>https://www.youtube.com/watch?v=FEDE9Cidt3M</t>
  </si>
  <si>
    <t>gEQ0BLyVJhY</t>
  </si>
  <si>
    <t>How to make shorts that go viral every time</t>
  </si>
  <si>
    <t>LOGAN E. SMITH</t>
  </si>
  <si>
    <t>https://www.youtube.com/watch?v=gEQ0BLyVJhY</t>
  </si>
  <si>
    <t>VDFl1JvRDEw</t>
  </si>
  <si>
    <t>I Tried YouTube Shorts for 7 Days (complete beginner)</t>
  </si>
  <si>
    <t>Jaxon Poulton</t>
  </si>
  <si>
    <t>https://www.youtube.com/watch?v=VDFl1JvRDEw</t>
  </si>
  <si>
    <t>hAdTgqW1fPw</t>
  </si>
  <si>
    <t>Ugly hot cheetos for Gold Lady  #youtubeshorts #hotcheeto #trending #shorts #viral</t>
  </si>
  <si>
    <t>GoldLadyMaria</t>
  </si>
  <si>
    <t>https://www.youtube.com/shorts/hAdTgqW1fPw</t>
  </si>
  <si>
    <t>vDG2254Vj3c</t>
  </si>
  <si>
    <t>When Parents SPELL In Front Of Kids #shorts</t>
  </si>
  <si>
    <t>Kallmekris</t>
  </si>
  <si>
    <t>https://www.youtube.com/shorts/vDG2254Vj3c</t>
  </si>
  <si>
    <t>5-rj4-Cs4Y4</t>
  </si>
  <si>
    <t>â€œITS ALWAYS WARM RIGHT HEREâ€ ðŸ¥¹ðŸ©· #trending #popular #cute #tiktok #shorts #bff #sisters #happy</t>
  </si>
  <si>
    <t>PurpleStars02</t>
  </si>
  <si>
    <t>https://www.youtube.com/shorts/5-rj4-Cs4Y4</t>
  </si>
  <si>
    <t>Pz2YBSx2Sh0</t>
  </si>
  <si>
    <t>Satisfying is an understatement ðŸ¤© #youtubeshorts #shorts #beauty #makeup #satisfying</t>
  </si>
  <si>
    <t>Mrs.Contour</t>
  </si>
  <si>
    <t>https://www.youtube.com/shorts/Pz2YBSx2Sh0</t>
  </si>
  <si>
    <t>FGmq1krsRwc</t>
  </si>
  <si>
    <t>Youtube Shorts Comments Are Cooked...</t>
  </si>
  <si>
    <t>MANDO</t>
  </si>
  <si>
    <t>https://www.youtube.com/watch?v=FGmq1krsRwc</t>
  </si>
  <si>
    <t>5ODn8PFmPQg</t>
  </si>
  <si>
    <t>How To Make Money with Youtube Shorts in 2026</t>
  </si>
  <si>
    <t>Money Guy</t>
  </si>
  <si>
    <t>https://www.youtube.com/watch?v=5ODn8PFmPQg</t>
  </si>
  <si>
    <t>2jNdR_o7TGU</t>
  </si>
  <si>
    <t>POV: your ex walks in with a new girlfriend ðŸ’” | #tiktok #shorts #foryou #fyp #michellekennelly #pov</t>
  </si>
  <si>
    <t>Michelle Kennelly</t>
  </si>
  <si>
    <t>https://www.youtube.com/shorts/2jNdR_o7TGU</t>
  </si>
  <si>
    <t>IXx-lvDK2fo</t>
  </si>
  <si>
    <t>You have thing called FINGER ðŸ’…ðŸ½ #fyp #viral #shorts #funny #relatable #school #trending</t>
  </si>
  <si>
    <t>INAFISH</t>
  </si>
  <si>
    <t>https://www.youtube.com/shorts/IXx-lvDK2fo</t>
  </si>
  <si>
    <t>NvFtEDN6oLg</t>
  </si>
  <si>
    <t>THATâ€™S MY ROOM!ðŸ˜  #shorts</t>
  </si>
  <si>
    <t>D.C.â€™s Family</t>
  </si>
  <si>
    <t>https://www.youtube.com/shorts/NvFtEDN6oLg</t>
  </si>
  <si>
    <t>w8sB13HRwXc</t>
  </si>
  <si>
    <t>Got choked out by my kid #shorts</t>
  </si>
  <si>
    <t>The McCartys</t>
  </si>
  <si>
    <t>https://www.youtube.com/shorts/w8sB13HRwXc</t>
  </si>
  <si>
    <t>sxmTTS4qros</t>
  </si>
  <si>
    <t>Trying not to laugh! ðŸ¤£ðŸ¤£ (4k memes) #shorts.  click the blue Join button to support my animations</t>
  </si>
  <si>
    <t>Rico Animations</t>
  </si>
  <si>
    <t>https://www.youtube.com/shorts/sxmTTS4qros</t>
  </si>
  <si>
    <t>nxUfX-s-mEc</t>
  </si>
  <si>
    <t>Buying evening my sister touches at dollar tree #shopping #shoppinghaul #shoppingvideo #shorts</t>
  </si>
  <si>
    <t>Marshallese Sisters</t>
  </si>
  <si>
    <t>https://www.youtube.com/shorts/nxUfX-s-mEc</t>
  </si>
  <si>
    <t>OMOF6l8Radk</t>
  </si>
  <si>
    <t>Making the PERFECT movie night ðŸ¿ #shorts</t>
  </si>
  <si>
    <t>Jezelle Catherine</t>
  </si>
  <si>
    <t>https://www.youtube.com/shorts/OMOF6l8Radk</t>
  </si>
  <si>
    <t>yqHhF-6sk5Q</t>
  </si>
  <si>
    <t>My baby girl is a teenager ðŸŽ‰ #jonathanjoly #shorts #teenagers</t>
  </si>
  <si>
    <t>Jonathan Joly</t>
  </si>
  <si>
    <t>https://www.youtube.com/shorts/yqHhF-6sk5Q</t>
  </si>
  <si>
    <t>J9NC5ZWYKgE</t>
  </si>
  <si>
    <t>And thatâ€™s what you call Karmaâ€¦ðŸ˜ˆðŸ’€ #comedy #shorts ï¿¼</t>
  </si>
  <si>
    <t>marrkadams</t>
  </si>
  <si>
    <t>https://www.youtube.com/shorts/J9NC5ZWYKgE</t>
  </si>
  <si>
    <t>-1Urg2OcLGk</t>
  </si>
  <si>
    <t>Singing in the shower! ðŸš¿ #shorts #trending #viral #funny #fyp #video #viralvideos</t>
  </si>
  <si>
    <t>agset211</t>
  </si>
  <si>
    <t>https://www.youtube.com/shorts/-1Urg2OcLGk</t>
  </si>
  <si>
    <t>a2vJLW0ZkX0</t>
  </si>
  <si>
    <t>Sagawa1gou funny video ðŸ˜‚ðŸ˜‚ðŸ˜‚ | SAGAWA Best Shorts 2022 #shorts</t>
  </si>
  <si>
    <t>Sagawa /ã•ãŒã‚</t>
  </si>
  <si>
    <t>https://www.youtube.com/shorts/a2vJLW0ZkX0</t>
  </si>
  <si>
    <t>RlSAFOFCQlE</t>
  </si>
  <si>
    <t>POV: you forgot she has a tailâ€¦ (yogaÂ janelleÂ monae) #yoga #shorts #funny</t>
  </si>
  <si>
    <t>brookecarolineb</t>
  </si>
  <si>
    <t>https://www.youtube.com/shorts/RlSAFOFCQlE</t>
  </si>
  <si>
    <t>RxMwhHzZvuU</t>
  </si>
  <si>
    <t>WHERE DOES THE TIME GO?ðŸ¥¹ðŸ’ž #shorts #sisters #bestfriends</t>
  </si>
  <si>
    <t>The Mir Fam</t>
  </si>
  <si>
    <t>https://www.youtube.com/shorts/RxMwhHzZvuU</t>
  </si>
  <si>
    <t>fHJG5ahdrIg</t>
  </si>
  <si>
    <t>#pov "Attractive" and"unattractive" are both treated differentlyâ€¦ #shorts #youtubeshorts</t>
  </si>
  <si>
    <t>Bianca Limon</t>
  </si>
  <si>
    <t>https://www.youtube.com/shorts/fHJG5ahdrIg</t>
  </si>
  <si>
    <t>Zjz_G84TxJM</t>
  </si>
  <si>
    <t>Sport prank with girl! ðŸ˜‚ #shorts</t>
  </si>
  <si>
    <t>Bugworkout</t>
  </si>
  <si>
    <t>https://www.youtube.com/shorts/Zjz_G84TxJM</t>
  </si>
  <si>
    <t>k3J4h7285hg</t>
  </si>
  <si>
    <t>This was unexpected ðŸ˜© #jonathanjoly #shorts #daughter ï¿¼</t>
  </si>
  <si>
    <t>https://www.youtube.com/shorts/k3J4h7285hg</t>
  </si>
  <si>
    <t>J0iIQ629N2c</t>
  </si>
  <si>
    <t>Most Popular Candies Platter #shorts #short #asmr #platter #candy #nerds #starburst #candyfunhouse</t>
  </si>
  <si>
    <t>Candy Funhouse</t>
  </si>
  <si>
    <t>https://www.youtube.com/shorts/J0iIQ629N2c</t>
  </si>
  <si>
    <t>IyQp9VxvN9g</t>
  </si>
  <si>
    <t>Sneaking Into Movies ðŸ¿ | Stranger Things S3E2 #Shorts</t>
  </si>
  <si>
    <t>JaiceNoir</t>
  </si>
  <si>
    <t>https://www.youtube.com/shorts/IyQp9VxvN9g</t>
  </si>
  <si>
    <t>OE6JqTSbajE</t>
  </si>
  <si>
    <t>RAINBOW HAIR TRANSFORMATION! #shorts #dlafam #londyn</t>
  </si>
  <si>
    <t xml:space="preserve">THE DLA FAM </t>
  </si>
  <si>
    <t>https://www.youtube.com/shorts/OE6JqTSbajE</t>
  </si>
  <si>
    <t>aKn7tPs_yaU</t>
  </si>
  <si>
    <t>New Kids EMBARRASSING School Lunch ðŸ˜†ðŸ¤¡ #shorts #storytime #elliotsimms</t>
  </si>
  <si>
    <t>ElliotSimms</t>
  </si>
  <si>
    <t>https://www.youtube.com/shorts/aKn7tPs_yaU</t>
  </si>
  <si>
    <t>XBDFfu7CGF4</t>
  </si>
  <si>
    <t>Perks of being in the front row #shorts</t>
  </si>
  <si>
    <t>Alex Sampson</t>
  </si>
  <si>
    <t>https://www.youtube.com/shorts/XBDFfu7CGF4</t>
  </si>
  <si>
    <t>SuhrwhAYH7o</t>
  </si>
  <si>
    <t>I Tried Youtube Shorts for 30 Days (realistic results)</t>
  </si>
  <si>
    <t>https://www.youtube.com/watch?v=SuhrwhAYH7o</t>
  </si>
  <si>
    <t>v6FGCb69OYY</t>
  </si>
  <si>
    <t>LOSER CANT USE THEIR PHONE FOR A WEEK!ðŸ˜¨ #shorts</t>
  </si>
  <si>
    <t>Isaac &amp; Andrea</t>
  </si>
  <si>
    <t>https://www.youtube.com/shorts/v6FGCb69OYY</t>
  </si>
  <si>
    <t>IRYkf96Uy60</t>
  </si>
  <si>
    <t>Short height wali ladki ka dukh ðŸ˜¢ #sejalgabashorts #shorts #funnyvideos</t>
  </si>
  <si>
    <t>Sejal Gaba</t>
  </si>
  <si>
    <t>https://www.youtube.com/watch?v=IRYkf96Uy60</t>
  </si>
  <si>
    <t>1jih9UhJdYw</t>
  </si>
  <si>
    <t>Compact SUV Cars Sale #secondhandcars #usedcars #lucknowcarbazar #shorts #lucknow</t>
  </si>
  <si>
    <t>Lucknow Ride</t>
  </si>
  <si>
    <t>https://www.youtube.com/watch?v=1jih9UhJdYw</t>
  </si>
  <si>
    <t>gwuIOr8o1iE</t>
  </si>
  <si>
    <t>Merakit Lego Biggest Dump Truck #diy #lego #shorts</t>
  </si>
  <si>
    <t>KARAKTOYS</t>
  </si>
  <si>
    <t>https://www.youtube.com/watch?v=gwuIOr8o1iE</t>
  </si>
  <si>
    <t>AMjErE9OQ6A</t>
  </si>
  <si>
    <t>#Lakshmi Niwas #Shorts #Zee TV #Entertainment #Drama</t>
  </si>
  <si>
    <t>Zee TV</t>
  </si>
  <si>
    <t>https://www.youtube.com/watch?v=AMjErE9OQ6A</t>
  </si>
  <si>
    <t>AqRgeiwiLhM</t>
  </si>
  <si>
    <t>PIKMIN Short Movies - Occupational Hazards - Nintendo Switch</t>
  </si>
  <si>
    <t>Play Nintendo</t>
  </si>
  <si>
    <t>https://www.youtube.com/watch?v=AqRgeiwiLhM</t>
  </si>
  <si>
    <t>PdgjSL0C4gk</t>
  </si>
  <si>
    <t>HAYATAKU/ã¯ã‚„ãŸãFunny Shorts Videos-Hayataku TikTok Competition</t>
  </si>
  <si>
    <t>HAYATAKU ã¯ã‚„ãŸã</t>
  </si>
  <si>
    <t>https://www.youtube.com/watch?v=PdgjSL0C4gk</t>
  </si>
  <si>
    <t>Ch7DebZ18ZE</t>
  </si>
  <si>
    <t>Milan juice | Charminar best street food | Classic Tv | #food #shorts</t>
  </si>
  <si>
    <t>Classic TV</t>
  </si>
  <si>
    <t>https://www.youtube.com/watch?v=Ch7DebZ18ZE</t>
  </si>
  <si>
    <t>tIHBCPINP2k</t>
  </si>
  <si>
    <t>How I Edit Youtube Shorts That Go Viral Everytime</t>
  </si>
  <si>
    <t>Hals</t>
  </si>
  <si>
    <t>https://www.youtube.com/watch?v=tIHBCPINP2k</t>
  </si>
  <si>
    <t>6XEQotGTlxk</t>
  </si>
  <si>
    <t>How to make $$$ from Youtube Shorts Automation</t>
  </si>
  <si>
    <t>https://www.youtube.com/watch?v=6XEQotGTlxk</t>
  </si>
  <si>
    <t>P7v04sNi_m4</t>
  </si>
  <si>
    <t>How To UNFREEZE Your Shorts Channel FAST !</t>
  </si>
  <si>
    <t>https://www.youtube.com/watch?v=P7v04sNi_m4</t>
  </si>
  <si>
    <t>I9Tz_xvT6lA</t>
  </si>
  <si>
    <t>World's *MOST* Viewed Minecraft Shorts! (VIRAL CLIPS)</t>
  </si>
  <si>
    <t>PrestonPlayz</t>
  </si>
  <si>
    <t>https://www.youtube.com/watch?v=I9Tz_xvT6lA</t>
  </si>
  <si>
    <t>mT8r__Hw5_c</t>
  </si>
  <si>
    <t>These SPECIAL Weekly Shorts are Insanely Good!</t>
  </si>
  <si>
    <t>GranaDy</t>
  </si>
  <si>
    <t>https://www.youtube.com/watch?v=mT8r__Hw5_c</t>
  </si>
  <si>
    <t>nZhWIOOG3Ws</t>
  </si>
  <si>
    <t>Worlds MOST Viewed YouTube Shorts! (VIRAL)</t>
  </si>
  <si>
    <t>Infinite</t>
  </si>
  <si>
    <t>https://www.youtube.com/watch?v=nZhWIOOG3Ws</t>
  </si>
  <si>
    <t>OgOW48FAy34</t>
  </si>
  <si>
    <t>how i make $10k+ a month with youtube shorts (full guide)</t>
  </si>
  <si>
    <t>moneyboymax</t>
  </si>
  <si>
    <t>https://www.youtube.com/watch?v=OgOW48FAy34</t>
  </si>
  <si>
    <t>C6Z_nSHYP3U</t>
  </si>
  <si>
    <t>Youtube Shorts That Are Actually Relatable</t>
  </si>
  <si>
    <t>Chuff Reacts</t>
  </si>
  <si>
    <t>https://www.youtube.com/watch?v=C6Z_nSHYP3U</t>
  </si>
  <si>
    <t>27XnIdWyqLs</t>
  </si>
  <si>
    <t>Hamood Habibi Meme in Minecraft! #shorts</t>
  </si>
  <si>
    <t>Moose Shorts</t>
  </si>
  <si>
    <t>https://www.youtube.com/watch?v=27XnIdWyqLs</t>
  </si>
  <si>
    <t>srDpvEnGQg4</t>
  </si>
  <si>
    <t>My $75K YouTube Shorts System - Full Course In 19 Minutes (Copy My 800M Views Strategy)</t>
  </si>
  <si>
    <t>E'Calm</t>
  </si>
  <si>
    <t>https://www.youtube.com/watch?v=srDpvEnGQg4</t>
  </si>
  <si>
    <t>0wb2BEZ6vIA</t>
  </si>
  <si>
    <t>CRINGE ROBLOX SHORTS</t>
  </si>
  <si>
    <t>Glitch</t>
  </si>
  <si>
    <t>https://www.youtube.com/watch?v=0wb2BEZ6vIA</t>
  </si>
  <si>
    <t>ye7oyKkzOpo</t>
  </si>
  <si>
    <t>Shopping with my Dad #shorts</t>
  </si>
  <si>
    <t>Sierra and Rhia English</t>
  </si>
  <si>
    <t>https://www.youtube.com/watch?v=ye7oyKkzOpo</t>
  </si>
  <si>
    <t>ZjIko5ZiDZ4</t>
  </si>
  <si>
    <t>YouTube Shorts : Brain Drain</t>
  </si>
  <si>
    <t>Flazefire</t>
  </si>
  <si>
    <t>https://www.youtube.com/watch?v=ZjIko5ZiDZ4</t>
  </si>
  <si>
    <t>NB6lnoyvX1k</t>
  </si>
  <si>
    <t>Best Of The GERMAN German Shepherd! #germanshepherd #dogs #pets #shorts</t>
  </si>
  <si>
    <t>Rufus Goodboy</t>
  </si>
  <si>
    <t>https://www.youtube.com/watch?v=NB6lnoyvX1k</t>
  </si>
  <si>
    <t>4PWQwZjhQoQ</t>
  </si>
  <si>
    <t>THE BEST SHORTS !! - COMPILATION</t>
  </si>
  <si>
    <t>VITMI</t>
  </si>
  <si>
    <t>https://www.youtube.com/watch?v=4PWQwZjhQoQ</t>
  </si>
  <si>
    <t>lZI92CCSdf4</t>
  </si>
  <si>
    <t>World's *MOST* Viewed YouTube Shorts!</t>
  </si>
  <si>
    <t>Foltyn Reacts</t>
  </si>
  <si>
    <t>https://www.youtube.com/watch?v=lZI92CCSdf4</t>
  </si>
  <si>
    <t>hfkt5dahPdc</t>
  </si>
  <si>
    <t>Maruti vs Maruti - Kitni hain end main VALUE?! | Ankur Warikoo #shorts</t>
  </si>
  <si>
    <t>warikoo</t>
  </si>
  <si>
    <t>https://www.youtube.com/watch?v=hfkt5dahPdc</t>
  </si>
  <si>
    <t>QJfQfZpwydQ</t>
  </si>
  <si>
    <t>How to Upload Shorts on YouTube the Right Way To Get More Views | SEO 2025</t>
  </si>
  <si>
    <t>Jazi Studioz</t>
  </si>
  <si>
    <t>https://www.youtube.com/watch?v=QJfQfZpwydQ</t>
  </si>
  <si>
    <t>dSyDjopiU7I</t>
  </si>
  <si>
    <t>#Meghasandesam #Shorts #Zee Telugu #Entertainment #Drama</t>
  </si>
  <si>
    <t>Zee Telugu</t>
  </si>
  <si>
    <t>https://www.youtube.com/watch?v=dSyDjopiU7I</t>
  </si>
  <si>
    <t>PNTixRwd7vE</t>
  </si>
  <si>
    <t>YouTube Shorts Is Actually Worse Than TikTok...17</t>
  </si>
  <si>
    <t>Balarke</t>
  </si>
  <si>
    <t>https://www.youtube.com/watch?v=PNTixRwd7vE</t>
  </si>
  <si>
    <t>Dl93kffQnio</t>
  </si>
  <si>
    <t>Building A Youtube Shorts Channel Until Its Monetized (Ep. 4)</t>
  </si>
  <si>
    <t>https://www.youtube.com/watch?v=Dl93kffQnio</t>
  </si>
  <si>
    <t>SucaVlvCopE</t>
  </si>
  <si>
    <t>Worlds *FUNNIEST* Grow a Garden Shorts</t>
  </si>
  <si>
    <t>PrestonGamez</t>
  </si>
  <si>
    <t>https://www.youtube.com/watch?v=SucaVlvCopE</t>
  </si>
  <si>
    <t>FDsQGJTNItg</t>
  </si>
  <si>
    <t>how to 8x your views on youtube shorts</t>
  </si>
  <si>
    <t>Deven Seenath</t>
  </si>
  <si>
    <t>https://www.youtube.com/watch?v=FDsQGJTNItg</t>
  </si>
  <si>
    <t>DhN4B8J3HzA</t>
  </si>
  <si>
    <t>THIS WAS TOO FUNNY ðŸ¤£ðŸ¤£#dance #shorts #short</t>
  </si>
  <si>
    <t>Venus Monee</t>
  </si>
  <si>
    <t>https://www.youtube.com/shorts/DhN4B8J3HzA</t>
  </si>
  <si>
    <t>DntmpGPvZxo</t>
  </si>
  <si>
    <t>When You Mess With A Dog #Shorts</t>
  </si>
  <si>
    <t>Luke Davidson</t>
  </si>
  <si>
    <t>https://www.youtube.com/shorts/DntmpGPvZxo</t>
  </si>
  <si>
    <t>ikcO_fxzwVU</t>
  </si>
  <si>
    <t>They are always sitting together ðŸ¥¹â™¥ï¸@jordanmatter #shorts #kaido #salishmatter #shortsfeed</t>
  </si>
  <si>
    <t>Salish Luhv</t>
  </si>
  <si>
    <t>https://www.youtube.com/shorts/ikcO_fxzwVU</t>
  </si>
  <si>
    <t>IQ14AVePD_g</t>
  </si>
  <si>
    <t>How Life Starts #Shorts</t>
  </si>
  <si>
    <t>https://www.youtube.com/shorts/IQ14AVePD_g</t>
  </si>
  <si>
    <t>y-ZOvOmCf48</t>
  </si>
  <si>
    <t>new trio â¤ï¸ #shorts #shortsviral #tiktok</t>
  </si>
  <si>
    <t>ROCK SQUAD</t>
  </si>
  <si>
    <t>https://www.youtube.com/shorts/y-ZOvOmCf48</t>
  </si>
  <si>
    <t>5H0YBRbKaN8</t>
  </si>
  <si>
    <t>Wait for it.. #school #pov #funny #comedyvideos #shorts #short #relatable</t>
  </si>
  <si>
    <t>Brooke Monk</t>
  </si>
  <si>
    <t>https://www.youtube.com/shorts/5H0YBRbKaN8</t>
  </si>
  <si>
    <t>Z-z3NvGtN_o</t>
  </si>
  <si>
    <t>I Recreated VIRAL YouTube Shorts!</t>
  </si>
  <si>
    <t>Team Jesser</t>
  </si>
  <si>
    <t>https://www.youtube.com/watch?v=Z-z3NvGtN_o</t>
  </si>
  <si>
    <t>UE6J-XG6I4M</t>
  </si>
  <si>
    <t>Sheâ€™s SO FLEXIBLE! ðŸ˜±ðŸ‘€ðŸ¤£ | Triple Charm #Shorts</t>
  </si>
  <si>
    <t>Triple Charm</t>
  </si>
  <si>
    <t>https://www.youtube.com/shorts/UE6J-XG6I4M</t>
  </si>
  <si>
    <t>cI_qClch6v8</t>
  </si>
  <si>
    <t>So'yloq tishdan Make up #blogger #food #shorts #love #family #short #shortsvideo #rels #instagtam</t>
  </si>
  <si>
    <t>SHAHLO GANIJONOVA</t>
  </si>
  <si>
    <t>https://www.youtube.com/watch?v=cI_qClch6v8</t>
  </si>
  <si>
    <t>WGGleHRHnlU</t>
  </si>
  <si>
    <t>Eid py aaya bohat maza â¤ï¸ #funny #trending #comedy #youtubeshorts #shorts</t>
  </si>
  <si>
    <t>Abdullah Tariq Khan</t>
  </si>
  <si>
    <t>https://www.youtube.com/watch?v=WGGleHRHnlU</t>
  </si>
  <si>
    <t>6aG36N_Fq00</t>
  </si>
  <si>
    <t>Pink Tumbler ðŸ©· #asmr #restock #tumbler #satisfying #relaxing #fyp #pink #aesthetic #shorts</t>
  </si>
  <si>
    <t xml:space="preserve">caitlin iola </t>
  </si>
  <si>
    <t>https://www.youtube.com/shorts/6aG36N_Fq00</t>
  </si>
  <si>
    <t>Yc4uoW78OMA</t>
  </si>
  <si>
    <t>ðŸ˜²Short à¤¡à¤¾à¤²à¤¤à¥‡ à¤¹à¥€ Viral ðŸ“ˆ| How to viral short video | Short video viral tips and tricks</t>
  </si>
  <si>
    <t>Yt Aman Tech</t>
  </si>
  <si>
    <t>https://www.youtube.com/watch?v=Yc4uoW78OMA</t>
  </si>
  <si>
    <t>WUJhYv_PitI</t>
  </si>
  <si>
    <t>à¤¸à¤¬à¤¸à¥‡ à¤†à¤¸à¤¾à¤¨ à¤šà¥ˆà¤¨à¤² IDEA ðŸ”¥ | à¤ªà¤¹à¤²à¥‡ à¤¹à¥€ Shorts Viral 101% | How to create viral shorts</t>
  </si>
  <si>
    <t>Mr Deepak k Facts</t>
  </si>
  <si>
    <t>https://www.youtube.com/watch?v=WUJhYv_PitI</t>
  </si>
  <si>
    <t>L3mU-N1w4Q8</t>
  </si>
  <si>
    <t>ðŸ¤« à¤¡à¤¾à¤²à¤¤à¥‡ à¤¹à¥€ Short Viral ðŸ”¥| How To Viral Short Video On Youtube | Shorts Video Viral tips and tricks</t>
  </si>
  <si>
    <t>TECH ZOOMBO</t>
  </si>
  <si>
    <t>https://www.youtube.com/watch?v=L3mU-N1w4Q8</t>
  </si>
  <si>
    <t>sh1QSHFmFZs</t>
  </si>
  <si>
    <t>Shorts Funny Video ðŸ˜ #funny #mistihappylifestyle #comedy #shorts #shortsviral #trending</t>
  </si>
  <si>
    <t>Misti Happy Lifestyle Games &amp; Shorts</t>
  </si>
  <si>
    <t>https://www.youtube.com/watch?v=sh1QSHFmFZs</t>
  </si>
  <si>
    <t>9-i69UtCfmQ</t>
  </si>
  <si>
    <t>SÃ¼per â¤ï¸ Perfect Family Wonderful ðŸ§¿ðŸ’•ðŸŽ¥ #shorts #tiktok</t>
  </si>
  <si>
    <t>Koray Zeynep</t>
  </si>
  <si>
    <t>https://www.youtube.com/watch?v=9-i69UtCfmQ</t>
  </si>
  <si>
    <t>9HZy3siJHXI</t>
  </si>
  <si>
    <t>ðŸ¤«501% New Trick Short à¤¡à¤¾à¤²à¤¤à¥‡ à¤¹à¥€ Viral ðŸ“ˆ| How to viral short video | Short video viral tips and tricks</t>
  </si>
  <si>
    <t>https://www.youtube.com/watch?v=9HZy3siJHXI</t>
  </si>
  <si>
    <t>_u4POCdoBlE</t>
  </si>
  <si>
    <t>Gulab upada ke jabardast colour ðŸ’¥8816826455#trending#viral #shorts</t>
  </si>
  <si>
    <t>Poonia  Boutique</t>
  </si>
  <si>
    <t>https://www.youtube.com/watch?v=_u4POCdoBlE</t>
  </si>
  <si>
    <t>YFaQ_5iW-8c</t>
  </si>
  <si>
    <t>1 MIN AGO: Royal Family Just Made A Huge Announcement</t>
  </si>
  <si>
    <t>VIP Files</t>
  </si>
  <si>
    <t>https://www.youtube.com/watch?v=YFaQ_5iW-8c</t>
  </si>
  <si>
    <t>BaasztkVKlE</t>
  </si>
  <si>
    <t>I Uploaded 50 YouTube Shorts in 24 Hours (The Weirdest Things Happened!)</t>
  </si>
  <si>
    <t>Dheeraj Mehra</t>
  </si>
  <si>
    <t>https://www.youtube.com/watch?v=BaasztkVKlE</t>
  </si>
  <si>
    <t>K2mmMWmLWs4</t>
  </si>
  <si>
    <t>CRAZY NURSE IN MY SCHOOLðŸ˜‚ðŸ‘€â¤ï¸ #shorts</t>
  </si>
  <si>
    <t>BETER BÃ–CÃœK</t>
  </si>
  <si>
    <t>https://www.youtube.com/watch?v=K2mmMWmLWs4</t>
  </si>
  <si>
    <t>iPqnzsbBuJ4</t>
  </si>
  <si>
    <t>Como fazer Shorts que SEMPRE Viralizam (com provas)</t>
  </si>
  <si>
    <t>RunnyIA</t>
  </si>
  <si>
    <t>https://www.youtube.com/watch?v=iPqnzsbBuJ4</t>
  </si>
  <si>
    <t>W8hQVkBKZCg</t>
  </si>
  <si>
    <t>SÃ¼per â¤ï¸ðŸ¤• every human being has the right to live ðŸ§¿âœ…ðŸŽ¥ #shorts TikTok</t>
  </si>
  <si>
    <t>https://www.youtube.com/watch?v=W8hQVkBKZCg</t>
  </si>
  <si>
    <t>6EGzJmZDvyA</t>
  </si>
  <si>
    <t>Ballerina cappuccino is Calling me! SLIDE MONSTER Took her! SHORT MOVIE</t>
  </si>
  <si>
    <t>Fear Vivi</t>
  </si>
  <si>
    <t>https://www.youtube.com/watch?v=6EGzJmZDvyA</t>
  </si>
  <si>
    <t>CzumtoNsZsQ</t>
  </si>
  <si>
    <t>Best Funniest Videos COMPILATION By Diya Ishwarya ðŸ˜±ðŸ¤£ðŸ’¯/shorts/TikTok</t>
  </si>
  <si>
    <t>Diya Ishwarya</t>
  </si>
  <si>
    <t>https://www.youtube.com/watch?v=CzumtoNsZsQ</t>
  </si>
  <si>
    <t>hfuSGCyVvLI</t>
  </si>
  <si>
    <t>Best Funniest Videos COMPILATION By Diya Ishwarya ðŸ˜± ðŸ¤£ ðŸ’¯/shorts/TikTok/DiyaIshwarya</t>
  </si>
  <si>
    <t>https://www.youtube.com/watch?v=hfuSGCyVvLI</t>
  </si>
  <si>
    <t>jjary-9tnlo</t>
  </si>
  <si>
    <t>Ranking funny try not cringe moments ðŸ˜‚ #funny #funnyvideos #shorts</t>
  </si>
  <si>
    <t>Trending now</t>
  </si>
  <si>
    <t>https://www.youtube.com/shorts/jjary-9tnlo</t>
  </si>
  <si>
    <t>j_y28wsorR4</t>
  </si>
  <si>
    <t>Shanu or aali nay ki shopping ðŸ›ï¸ #trending #funny #youtubeshorts #shorts #vlog</t>
  </si>
  <si>
    <t>https://www.youtube.com/watch?v=j_y28wsorR4</t>
  </si>
  <si>
    <t>cWs4WA--eKU</t>
  </si>
  <si>
    <t>The Gunfighter | A Short Film by Eric Kissack (narrated by Nick Offerman)</t>
  </si>
  <si>
    <t>MAGNETFILM</t>
  </si>
  <si>
    <t>https://www.youtube.com/watch?v=cWs4WA--eKU</t>
  </si>
  <si>
    <t>iLTxTDelLwE</t>
  </si>
  <si>
    <t>Jun Jun funny videoðŸ˜‚ðŸ˜‚ðŸ˜‚best TikTok compilation 2024#shorts#funny#cocomelon</t>
  </si>
  <si>
    <t>Jun Jun House</t>
  </si>
  <si>
    <t>https://www.youtube.com/watch?v=iLTxTDelLwE</t>
  </si>
  <si>
    <t>6pQ1l7VEBVs</t>
  </si>
  <si>
    <t>Bhul Janu Mur Asil || Assamese Short Film || Nitumani Sarma || Bikash Bailung || Kagoj</t>
  </si>
  <si>
    <t>KAGOJ</t>
  </si>
  <si>
    <t>https://www.youtube.com/watch?v=6pQ1l7VEBVs</t>
  </si>
  <si>
    <t>X40_0uqYbio</t>
  </si>
  <si>
    <t>It's so scrary #trending #viral #funny #shorts</t>
  </si>
  <si>
    <t>H&amp;T Official</t>
  </si>
  <si>
    <t>https://www.youtube.com/shorts/X40_0uqYbio</t>
  </si>
  <si>
    <t>b_mwMikG_IQ</t>
  </si>
  <si>
    <t>Nothing ordinary about this! #trending #dance #shorts #shortsfeed</t>
  </si>
  <si>
    <t>The Savannah Bananas</t>
  </si>
  <si>
    <t>https://www.youtube.com/shorts/b_mwMikG_IQ</t>
  </si>
  <si>
    <t>79IO2s0blQo</t>
  </si>
  <si>
    <t>ðŸ˜± BEST EMOTIONAL VIDEOS, MATIFAMILY @babyluke_ #matifamily #funny #babymatifa #shorts #emotional</t>
  </si>
  <si>
    <t>MatiFamily Officiel</t>
  </si>
  <si>
    <t>https://www.youtube.com/watch?v=79IO2s0blQo</t>
  </si>
  <si>
    <t>E8kjMc5iPG8</t>
  </si>
  <si>
    <t>WTF Is Gen Alpha Posting On YouTube Shorts ðŸ’€</t>
  </si>
  <si>
    <t>7-ElevenZ</t>
  </si>
  <si>
    <t>https://www.youtube.com/watch?v=E8kjMc5iPG8</t>
  </si>
  <si>
    <t>mBrn8ana84w</t>
  </si>
  <si>
    <t>How to Make VIRAL Commentary Shorts with AI (Full Tutorial)</t>
  </si>
  <si>
    <t>https://www.youtube.com/watch?v=mBrn8ana84w</t>
  </si>
  <si>
    <t>d844BGwaLY8</t>
  </si>
  <si>
    <t>ðŸ¤« 7 Sec. à¤®à¥‡à¤‚ Short VIRALðŸ”¥ | How To Viral Short Video On Youtube | Shorts Viral Kaise Kare</t>
  </si>
  <si>
    <t>Spreading Gyan</t>
  </si>
  <si>
    <t>https://www.youtube.com/watch?v=d844BGwaLY8</t>
  </si>
  <si>
    <t>v4cQORz4sK8</t>
  </si>
  <si>
    <t>SEC Shorts - SEC TV games go dark</t>
  </si>
  <si>
    <t>SEC Shorts</t>
  </si>
  <si>
    <t>https://www.youtube.com/watch?v=v4cQORz4sK8</t>
  </si>
  <si>
    <t>Pg8HFh12PAc</t>
  </si>
  <si>
    <t>I Tested Simpsons Clickbait Fortnite Shorts!</t>
  </si>
  <si>
    <t>Ali-A</t>
  </si>
  <si>
    <t>https://www.youtube.com/watch?v=Pg8HFh12PAc</t>
  </si>
  <si>
    <t>_rOVZMpAYxw</t>
  </si>
  <si>
    <t>SEC Shorts - SEC teams board the Playoff Train</t>
  </si>
  <si>
    <t>https://www.youtube.com/watch?v=_rOVZMpAYxw</t>
  </si>
  <si>
    <t>B0uDoEzqxlE</t>
  </si>
  <si>
    <t>Dumb Life Hacks I Learned on YouTube Shorts!</t>
  </si>
  <si>
    <t>https://www.youtube.com/watch?v=B0uDoEzqxlE</t>
  </si>
  <si>
    <t>zK5WNWlw2Lw</t>
  </si>
  <si>
    <t>How to Escape 0, 10k &amp; 30k View Jail on YouTube Shorts (Full Guide)</t>
  </si>
  <si>
    <t>Ryvahn</t>
  </si>
  <si>
    <t>https://www.youtube.com/watch?v=zK5WNWlw2Lw</t>
  </si>
  <si>
    <t>65S8oTrznH8</t>
  </si>
  <si>
    <t>Bro Got Embarrassed Twice by Messi #shorts ðŸ˜­ðŸ”¥ #shorts #edit #football #footballedits #soccer #messi</t>
  </si>
  <si>
    <t>FutbolEssence</t>
  </si>
  <si>
    <t>https://www.youtube.com/shorts/65S8oTrznH8</t>
  </si>
  <si>
    <t>5iIIYKztamo</t>
  </si>
  <si>
    <t>I Went Viral With YouTube Shorts In 30 Days</t>
  </si>
  <si>
    <t>janisjanis01</t>
  </si>
  <si>
    <t>https://www.youtube.com/watch?v=5iIIYKztamo</t>
  </si>
  <si>
    <t>zf7T9FVR2NA</t>
  </si>
  <si>
    <t>Bread &amp; Barbecue Sauce Was My Poverty Meal â€” What Was Yours? #Shorts</t>
  </si>
  <si>
    <t>Tom Powell Jr</t>
  </si>
  <si>
    <t>https://www.youtube.com/watch?v=zf7T9FVR2NA</t>
  </si>
  <si>
    <t>tLZjL-dMH_g</t>
  </si>
  <si>
    <t>Don't do this #short #shorts #shortvideo #memes</t>
  </si>
  <si>
    <t>Skyworld Animation Studio</t>
  </si>
  <si>
    <t>https://www.youtube.com/shorts/tLZjL-dMH_g</t>
  </si>
  <si>
    <t>ib1XVpSL0MY</t>
  </si>
  <si>
    <t>à°¤à±Šà°²à°¿ à°ªà±à°°à±‡à°® â¤ï¸ | The painful Love Story ðŸ’”| Part-206 #emotional #love #truelove #family #shorts</t>
  </si>
  <si>
    <t>Wondering Minds</t>
  </si>
  <si>
    <t>https://www.youtube.com/watch?v=ib1XVpSL0MY</t>
  </si>
  <si>
    <t>6FljrpJG3pg</t>
  </si>
  <si>
    <t>Bestie Dance Again â¤ï¸#shorts #shortsfeed #nastyashatarot</t>
  </si>
  <si>
    <t>https://www.youtube.com/shorts/6FljrpJG3pg</t>
  </si>
  <si>
    <t>RTfOF2IONRc</t>
  </si>
  <si>
    <t>WHY DOES HE LOOK LIKE THAT #Shorts</t>
  </si>
  <si>
    <t>mmmjoemele</t>
  </si>
  <si>
    <t>https://www.youtube.com/shorts/RTfOF2IONRc</t>
  </si>
  <si>
    <t>g8l0z0DCXUs</t>
  </si>
  <si>
    <t>SEC Shorts - After that Rose Bowl, Daniel Moore gotta paint something</t>
  </si>
  <si>
    <t>https://www.youtube.com/watch?v=g8l0z0DCXUs</t>
  </si>
  <si>
    <t>KmgGlg5ys54</t>
  </si>
  <si>
    <t>Normal day in the jungle! ðŸ¤£ (4k memes)  #shorts</t>
  </si>
  <si>
    <t>https://www.youtube.com/shorts/KmgGlg5ys54</t>
  </si>
  <si>
    <t>0UjB4kmK88Y</t>
  </si>
  <si>
    <t>World's *FUNNIEST* Gorilla Tag Shorts!</t>
  </si>
  <si>
    <t>Be Prepared</t>
  </si>
  <si>
    <t>https://www.youtube.com/watch?v=0UjB4kmK88Y</t>
  </si>
  <si>
    <t>X_Sb47fxIe8</t>
  </si>
  <si>
    <t>Ranking The Funniest Celebrities Memes Ever ðŸ¤£ (Part 2) #shorts #funny #ranking #tiktok</t>
  </si>
  <si>
    <t>RankReactor</t>
  </si>
  <si>
    <t>https://www.youtube.com/shorts/X_Sb47fxIe8</t>
  </si>
  <si>
    <t>vmkB8ItYRzI</t>
  </si>
  <si>
    <t>How I Upload Shorts Like a PRO in 2026 ðŸ˜± | 3 Viral Secrets Nobody Tells! ðŸš€</t>
  </si>
  <si>
    <t>Grow in tube</t>
  </si>
  <si>
    <t>https://www.youtube.com/watch?v=vmkB8ItYRzI</t>
  </si>
  <si>
    <t>jAa8RVbklAk</t>
  </si>
  <si>
    <t>NEWâ¤ï¸ðŸ‘€ BETER BÃ–CÃœK TOPRAK IN NEW SCHOOL #shorts</t>
  </si>
  <si>
    <t>https://www.youtube.com/watch?v=jAa8RVbklAk</t>
  </si>
  <si>
    <t>twEpdgUi1eA</t>
  </si>
  <si>
    <t>501% Short à¤¡à¤¾à¤²à¤¤à¥‡ à¤¹à¥€ Direct Viral ðŸ”¥ How to Viral Shorts on Youtube ? | Shorts viral Kaise Kare</t>
  </si>
  <si>
    <t>Mr Tech Saurabh</t>
  </si>
  <si>
    <t>https://www.youtube.com/watch?v=twEpdgUi1eA</t>
  </si>
  <si>
    <t>J4stYmJ4VDc</t>
  </si>
  <si>
    <t>BEST funniestðŸ¤£ videos compilation byðŸ¥° krishnaavyu â™¥ï¸</t>
  </si>
  <si>
    <t>ðŠð«ð¢ð¬ð¡ð§ðšð€ð¯ð²ð® ð„ð§ð­ðžð«ð­ðšð¢ð§ð¦ðžð§ð­</t>
  </si>
  <si>
    <t>https://www.youtube.com/watch?v=J4stYmJ4VDc</t>
  </si>
  <si>
    <t>4MeElT9ZrAs</t>
  </si>
  <si>
    <t>Baxterâ€™s Funniest Moments of 2025 ðŸ¤£ðŸ¶ (Best Shorts Compilation)</t>
  </si>
  <si>
    <t>Baxter and Friends</t>
  </si>
  <si>
    <t>https://www.youtube.com/watch?v=4MeElT9ZrAs</t>
  </si>
  <si>
    <t>KGmiKGfwud0</t>
  </si>
  <si>
    <t>LiDiRo reagiert auf Shorts #520 #lidiro #shorts</t>
  </si>
  <si>
    <t>LiDiRo Reagiert</t>
  </si>
  <si>
    <t>https://www.youtube.com/watch?v=KGmiKGfwud0</t>
  </si>
  <si>
    <t>LDLvoYeRigc</t>
  </si>
  <si>
    <t>Shanu vs bhoot ðŸ‘» #funny #comedy #youtubeshorts #trending #shorts #bhoot</t>
  </si>
  <si>
    <t>https://www.youtube.com/watch?v=LDLvoYeRigc</t>
  </si>
  <si>
    <t>QGvMk1ugiu0</t>
  </si>
  <si>
    <t>BETER BÃ–CÃœK AND HELLO NEIHGBOR IN REAL LIFE ðŸ˜±ðŸ‘»â¤ï¸ #shorts</t>
  </si>
  <si>
    <t>https://www.youtube.com/watch?v=QGvMk1ugiu0</t>
  </si>
  <si>
    <t>5_-NxCvz6mc</t>
  </si>
  <si>
    <t>ðŸ¥³ 12 à¤®à¤¿à¤¨à¤Ÿ à¤®à¥‡à¤‚ Short Viral ðŸ’¥ | short video viral tips and tricks | how to viral short video</t>
  </si>
  <si>
    <t>Tech Aakash Help</t>
  </si>
  <si>
    <t>https://www.youtube.com/watch?v=5_-NxCvz6mc</t>
  </si>
  <si>
    <t>jSQ6Mru88y4</t>
  </si>
  <si>
    <t>I BLEW UP a YouTube Channel in 7 Days to Prove it's NOT Luck</t>
  </si>
  <si>
    <t>Jack Craig</t>
  </si>
  <si>
    <t>https://www.youtube.com/watch?v=jSQ6Mru88y4</t>
  </si>
  <si>
    <t>PIT1PfZvXjY</t>
  </si>
  <si>
    <t>Aali ka gift ðŸŽ shanu naraz ho gya ðŸ˜± #trending #funny #shorts #vlog #youtubeshorts</t>
  </si>
  <si>
    <t>https://www.youtube.com/watch?v=PIT1PfZvXjY</t>
  </si>
  <si>
    <t>qJssYisa14k</t>
  </si>
  <si>
    <t>SUBSCRIBERS à¤•à¥€ à¤¬à¤¾à¤°à¤¿à¤¶ ðŸ˜± Shorts à¤•à¤¾ New Channel à¤¬à¤¨à¤¾à¤•à¤° Grow à¤•à¤°à¤¨à¤¾ à¤¹à¥ˆ à¤¤à¥‹ à¤¯à¥‡ Trick à¤²à¤—à¤¾à¤“ || 2 à¤¦à¤¿à¤¨ à¤®à¥‡ VIRAL</t>
  </si>
  <si>
    <t>https://www.youtube.com/watch?v=qJssYisa14k</t>
  </si>
  <si>
    <t>BjA995dP_60</t>
  </si>
  <si>
    <t>Meatball | Award-Winning Comedy Short Film (4k)</t>
  </si>
  <si>
    <t>Alexandra Robinson</t>
  </si>
  <si>
    <t>https://www.youtube.com/watch?v=BjA995dP_60</t>
  </si>
  <si>
    <t>_yuLAFQuDcI</t>
  </si>
  <si>
    <t>1,000 Secrets I *LEARNED* on YouTube Shorts!</t>
  </si>
  <si>
    <t>MoreAliA Top Videos</t>
  </si>
  <si>
    <t>https://www.youtube.com/watch?v=_yuLAFQuDcI</t>
  </si>
  <si>
    <t>cSqBzblCidI</t>
  </si>
  <si>
    <t>Ice cream prank with Mama ðŸ¦Tom&amp;Jerry #shorts</t>
  </si>
  <si>
    <t>Arika's World</t>
  </si>
  <si>
    <t>https://www.youtube.com/watch?v=cSqBzblCidI</t>
  </si>
  <si>
    <t>wbxms2ElnBA</t>
  </si>
  <si>
    <t>Ek tuition wali didi aisi bhi ðŸ‘©â€ðŸ«ðŸ˜‚ #shorts #sejalgabashorts #tuition</t>
  </si>
  <si>
    <t>https://www.youtube.com/watch?v=wbxms2ElnBA</t>
  </si>
  <si>
    <t>9sKymTsMu5k</t>
  </si>
  <si>
    <t>17 à¤®à¤¿à¤¨à¤Ÿ à¤®à¥‡à¤‚ Shorts Viral à¤•à¤¿à¤¯à¤¾ ðŸ”¥ | New Trick à¤¸à¥‡ 3 à¤¦à¤¿à¤¨ à¤®à¥‡à¤‚ 10M Views à¤ªà¥‚à¤°à¤¾ ðŸ“ˆ | Shorts viral Kaise Kare</t>
  </si>
  <si>
    <t>https://www.youtube.com/watch?v=9sKymTsMu5k</t>
  </si>
  <si>
    <t>LOfjpVn--5E</t>
  </si>
  <si>
    <t>ðŸ¤«14 Sec. à¤®à¥‡à¤‚ Short Viral ðŸ”¥| shorts video viral tips and tricks | how to viral short video on youtube</t>
  </si>
  <si>
    <t>Abhi Rathore</t>
  </si>
  <si>
    <t>https://www.youtube.com/watch?v=LOfjpVn--5E</t>
  </si>
  <si>
    <t>2KzDSEQb2aM</t>
  </si>
  <si>
    <t>ðŸ˜² OMG ðŸ› The Kitten is in Big Trouble ðŸ¥º Little Kittenâ€™s Unbelievable Bug Story</t>
  </si>
  <si>
    <t>Meowia</t>
  </si>
  <si>
    <t>https://www.youtube.com/watch?v=2KzDSEQb2aM</t>
  </si>
  <si>
    <t>95J7ZvDB2PQ</t>
  </si>
  <si>
    <t>Father &amp; Daughter go swimming in summerâ—ï¸Mattress under The Swimming Pool ðŸ˜± by Su Hao #shorts</t>
  </si>
  <si>
    <t>Su Hao</t>
  </si>
  <si>
    <t>https://www.youtube.com/watch?v=95J7ZvDB2PQ</t>
  </si>
  <si>
    <t>k_mk2hiTD0I</t>
  </si>
  <si>
    <t>NEW TIKTOK VIDEOS FROM BETER BÃ–CÃœK ðŸ‘€â¤ï¸ðŸŽ¶ #shorts</t>
  </si>
  <si>
    <t>https://www.youtube.com/watch?v=k_mk2hiTD0I</t>
  </si>
  <si>
    <t>Fgo8XJi9tt8</t>
  </si>
  <si>
    <t>Scary Teacher 3D vs Squid Game Wheel Saw Hammer Honeycomb Candy Shapes Level Max 5 Times Challenge</t>
  </si>
  <si>
    <t>Scary Teacher Family short</t>
  </si>
  <si>
    <t>https://www.youtube.com/watch?v=Fgo8XJi9tt8</t>
  </si>
  <si>
    <t>_s0-yQ73s7Q</t>
  </si>
  <si>
    <t>ðŸ¤« 9 Sec. à¤®à¥‡à¤‚ Short VIRALðŸ”¥ | How To Viral Short Video On Youtube | Shorts Viral Kaise Kare</t>
  </si>
  <si>
    <t>https://www.youtube.com/watch?v=_s0-yQ73s7Q</t>
  </si>
  <si>
    <t>R_TvkQhYWTA</t>
  </si>
  <si>
    <t>LiDiRo reagiert auf Shorts #503 #lidiro #shorts</t>
  </si>
  <si>
    <t>https://www.youtube.com/watch?v=R_TvkQhYWTA</t>
  </si>
  <si>
    <t>bvyzBIbCVN8</t>
  </si>
  <si>
    <t>Shorts à¤¡à¤¾à¤²à¤¤à¥‡ à¤¹à¥€ VIRALðŸ”¥â¤´ï¸| shorts video viral tips and tricks | how to viral short video on youtube</t>
  </si>
  <si>
    <t>https://www.youtube.com/watch?v=bvyzBIbCVN8</t>
  </si>
  <si>
    <t>leJdQVVx5l0</t>
  </si>
  <si>
    <t>Dumbest Brainrot Youtube Shorts Comments</t>
  </si>
  <si>
    <t>Wackawackamunv2</t>
  </si>
  <si>
    <t>https://www.youtube.com/watch?v=leJdQVVx5l0</t>
  </si>
  <si>
    <t>XPExDLNGysk</t>
  </si>
  <si>
    <t>School Vs College ðŸ¤© || Allari Aarathi || #comedy #shorts #trendingshorts #schoollife</t>
  </si>
  <si>
    <t>Allari Aarathi</t>
  </si>
  <si>
    <t>https://www.youtube.com/watch?v=XPExDLNGysk</t>
  </si>
  <si>
    <t>jqpGtffk7fM</t>
  </si>
  <si>
    <t>Mera teddy bear le liya ðŸ˜‚ #funnyvideo #comedyvideo #sukhasankastar #shortvideo #viralvideo #shorts</t>
  </si>
  <si>
    <t>Real Parwej</t>
  </si>
  <si>
    <t>https://www.youtube.com/watch?v=jqpGtffk7fM</t>
  </si>
  <si>
    <t>JnnQ2-0edBs</t>
  </si>
  <si>
    <t>YouTube Shorts vs Long Videos â€“ Which Makes More Money in 2026?</t>
  </si>
  <si>
    <t>Technical Yogi</t>
  </si>
  <si>
    <t>https://www.youtube.com/watch?v=JnnQ2-0edBs</t>
  </si>
  <si>
    <t>CNE0neya59o</t>
  </si>
  <si>
    <t>EDDIE MORA Best Funny Shorts 2026! Try Not to Laugh with RYAN HD LOMBARD P4</t>
  </si>
  <si>
    <t>Comedy United</t>
  </si>
  <si>
    <t>https://www.youtube.com/watch?v=CNE0neya59o</t>
  </si>
  <si>
    <t>yimxzQqu_6g</t>
  </si>
  <si>
    <t>How I Edit YouTube Shorts That Get Millions of Views</t>
  </si>
  <si>
    <t>https://www.youtube.com/watch?v=yimxzQqu_6g</t>
  </si>
  <si>
    <t>5ctvDMRse9g</t>
  </si>
  <si>
    <t>Worst Indian YouTube Shorts</t>
  </si>
  <si>
    <t>Slayy Point</t>
  </si>
  <si>
    <t>https://www.youtube.com/watch?v=5ctvDMRse9g</t>
  </si>
  <si>
    <t>kh0rVvfsQOk</t>
  </si>
  <si>
    <t>Monkey Baby Bon Bon Goes Fishing and Swims with Ducklings in the Pool</t>
  </si>
  <si>
    <t>Animal HT</t>
  </si>
  <si>
    <t>https://www.youtube.com/watch?v=kh0rVvfsQOk</t>
  </si>
  <si>
    <t>P8DGhbvVZEQ</t>
  </si>
  <si>
    <t>ðŸ¤‘à¤¦à¥‚à¤¸à¤°à¥‹à¤‚ à¤•à¥‡ #Shorts à¤¸à¥‡ ( 8 à¤²à¤¾à¤– à¤•à¤®à¤¾à¤¯à¤¾)ðŸ’µ copy paste video on youtube and earn money | new channel idea</t>
  </si>
  <si>
    <t>Arvind zone</t>
  </si>
  <si>
    <t>https://www.youtube.com/watch?v=P8DGhbvVZEQ</t>
  </si>
  <si>
    <t>3kST_PNAKgw</t>
  </si>
  <si>
    <t>*1 Hour* Funny Shorts Sotey.yon | Best of Sotey.yon 2024 | Shorts Comps</t>
  </si>
  <si>
    <t>Shorts Comps</t>
  </si>
  <si>
    <t>https://www.youtube.com/watch?v=3kST_PNAKgw</t>
  </si>
  <si>
    <t>k_GGiWNAmRY</t>
  </si>
  <si>
    <t>Netflix and Chills | Short Horror Film</t>
  </si>
  <si>
    <t>ACMofficial</t>
  </si>
  <si>
    <t>https://www.youtube.com/watch?v=k_GGiWNAmRY</t>
  </si>
  <si>
    <t>AZjPi5INS6E</t>
  </si>
  <si>
    <t>Martin Short's Daughter Katherine Dead at 42</t>
  </si>
  <si>
    <t>Entertainment Tonight</t>
  </si>
  <si>
    <t>https://www.youtube.com/watch?v=AZjPi5INS6E</t>
  </si>
  <si>
    <t>YSKstSLx3tk</t>
  </si>
  <si>
    <t>*3 HOURS* Mark Adams BEST SHORTS OF 2023 | Funny Marrkadams</t>
  </si>
  <si>
    <t>Yeap!</t>
  </si>
  <si>
    <t>https://www.youtube.com/watch?v=YSKstSLx3tk</t>
  </si>
  <si>
    <t>kH3Jv8Lzr0o</t>
  </si>
  <si>
    <t>*NEWEST* MARRK ADAMS Shorts Compilation #16 | Funny Mark Adams TikToks</t>
  </si>
  <si>
    <t>https://www.youtube.com/watch?v=kH3Jv8Lzr0o</t>
  </si>
  <si>
    <t>6W6dzchevrk</t>
  </si>
  <si>
    <t>Try Not To Laugh: Eddie Mora vs Mark Adams Shorts 2026 PT.1</t>
  </si>
  <si>
    <t>LAUGH OUT LOUD</t>
  </si>
  <si>
    <t>https://www.youtube.com/watch?v=6W6dzchevrk</t>
  </si>
  <si>
    <t>8oUnM3w-U4k</t>
  </si>
  <si>
    <t>Try Not to Laugh! Mark Adams vs Eddie Mora Funny Shorts 2026! 1</t>
  </si>
  <si>
    <t>New TikTok</t>
  </si>
  <si>
    <t>https://www.youtube.com/watch?v=8oUnM3w-U4k</t>
  </si>
  <si>
    <t>YzZUcZjlUE4</t>
  </si>
  <si>
    <t>20â€™s Moms vs 90's Moms ðŸ˜‚ðŸ¤ª || #allariaarathi #funny #trendingvideo #trending</t>
  </si>
  <si>
    <t>https://www.youtube.com/watch?v=YzZUcZjlUE4</t>
  </si>
  <si>
    <t>ðŸ˜²Short à¤¡à¤¾à¤²à¤¤à¥‡ à¤¹à¥€ 501% Viral ðŸ“ˆ| How to viral short video | Short video viral tips and tricks</t>
  </si>
  <si>
    <t>https://www.youtube.com/watch?v=-dGWxox788A</t>
  </si>
  <si>
    <t>LLlV8q6iWq4</t>
  </si>
  <si>
    <t>Dad vs Timmy! Try Not to Laugh EDDIE MORA Funny Shorts! P2</t>
  </si>
  <si>
    <t>https://www.youtube.com/watch?v=LLlV8q6iWq4</t>
  </si>
  <si>
    <t>_ss3ClwSy2Y</t>
  </si>
  <si>
    <t>Long Slide Game With Cow Elephant Gorilla Hippopotamus Tiger - 3d Animal Game - Funny 3d Animals</t>
  </si>
  <si>
    <t>Animals 3D</t>
  </si>
  <si>
    <t>https://www.youtube.com/watch?v=_ss3ClwSy2Y</t>
  </si>
  <si>
    <t>8qQMPCGIGvU</t>
  </si>
  <si>
    <t>BEST funniest ðŸ¤£videos compilation byðŸ¥° krishnaavyu â™¥ï¸</t>
  </si>
  <si>
    <t>https://www.youtube.com/watch?v=8qQMPCGIGvU</t>
  </si>
  <si>
    <t>3NHftLP8hcg</t>
  </si>
  <si>
    <t>LiDiRo reagiert auf Shorts #519 #lidiro #shorts</t>
  </si>
  <si>
    <t>https://www.youtube.com/watch?v=3NHftLP8hcg</t>
  </si>
  <si>
    <t>thK2ge6PPgI</t>
  </si>
  <si>
    <t>Rich Squid Game Toy &amp; Poor Car - Homeless &amp; Rich Kids ðŸ˜€ðŸ‘§ðŸ»ðŸ¤ª Su Hao Linh Nhi #shorts By LNS vs SH</t>
  </si>
  <si>
    <t>https://www.youtube.com/watch?v=thK2ge6PPgI</t>
  </si>
  <si>
    <t>WXuVvtxtuv0</t>
  </si>
  <si>
    <t>ðŸ‘‰à¤à¤¸à¤¾ USA Shorts YouTube à¤šà¥ˆà¤¨à¤² à¤¬à¤¨à¤¾à¤“ Video à¤¡à¤¾à¤²à¤¤à¥‡ à¤¹à¥€ à¤¹à¥‹à¤—à¤¾ VIRAL | New USA Channel Ideas | Spreading Gyan</t>
  </si>
  <si>
    <t>https://www.youtube.com/watch?v=WXuVvtxtuv0</t>
  </si>
  <si>
    <t>xIwlzNrBPDQ</t>
  </si>
  <si>
    <t>Ek tuition wali didi aisi bhi ðŸ‘©â€ðŸ«ðŸ˜‚ #shorts #ytvideo #sejalgabavideo #tuition</t>
  </si>
  <si>
    <t>https://www.youtube.com/watch?v=xIwlzNrBPDQ</t>
  </si>
  <si>
    <t>z9BZL4P-G6U</t>
  </si>
  <si>
    <t>Devanshi ki new top videoðŸ˜²â¤ï¸ #shorts #ytshorts #foryou #trending #viralvideo</t>
  </si>
  <si>
    <t>Nkcomedystar01</t>
  </si>
  <si>
    <t>https://www.youtube.com/watch?v=z9BZL4P-G6U</t>
  </si>
  <si>
    <t>PkSONU3qkrM</t>
  </si>
  <si>
    <t>ðŸ¥³ 16 à¤®à¤¿à¤¨à¤Ÿ à¤®à¥‡à¤‚ Short Viral ðŸ’¥ | short video viral tips and tricks | how to viral short video</t>
  </si>
  <si>
    <t>https://www.youtube.com/watch?v=PkSONU3qkrM</t>
  </si>
  <si>
    <t>58muUEOqfCo</t>
  </si>
  <si>
    <t>Struggle Of Being The â€œ AVERAGE â€œ Siblingâ¤ï¸â€ðŸ©¹ | Raj Grover | #shorts</t>
  </si>
  <si>
    <t>Raj Grover</t>
  </si>
  <si>
    <t>https://www.youtube.com/watch?v=58muUEOqfCo</t>
  </si>
  <si>
    <t>wcYVLS0E1GE</t>
  </si>
  <si>
    <t>The Shorts 1983  Comment Ca Va</t>
  </si>
  <si>
    <t>Riekus1</t>
  </si>
  <si>
    <t>https://www.youtube.com/watch?v=wcYVLS0E1GE&amp;list=RDwcYVLS0E1GE&amp;start_radio=1</t>
  </si>
  <si>
    <t>5Vsg1_9Ff6I</t>
  </si>
  <si>
    <t>*2 HOURS* The Best MARRK ADAMS Shorts Compilation #10 | Mark Adams  TikToks</t>
  </si>
  <si>
    <t>https://www.youtube.com/watch?v=5Vsg1_9Ff6I</t>
  </si>
  <si>
    <t>TRJRgpPXVKw</t>
  </si>
  <si>
    <t>New funny 3D effect animation short videos of Ifraz ðŸ˜‚ðŸ¥³#youtubeshorts #funny #shorts</t>
  </si>
  <si>
    <t>CamView With IFRAZ</t>
  </si>
  <si>
    <t>https://www.youtube.com/watch?v=TRJRgpPXVKw</t>
  </si>
  <si>
    <t>goNRAtKFfzY</t>
  </si>
  <si>
    <t>à°¤à±Šà°²à°¿ à°ªà±à°°à±‡à°® â¤ï¸ | The painful Love Story ðŸ’”| Part-155 #emotional #love #truelove #family #shorts</t>
  </si>
  <si>
    <t>https://www.youtube.com/watch?v=goNRAtKFfzY</t>
  </si>
  <si>
    <t>VZSOeAbIXco</t>
  </si>
  <si>
    <t>Try Not To Laugh Watching Sotey Yon Shorts Compilation | Sotey Yon *CRAZY CRUSH* Shorts 2025</t>
  </si>
  <si>
    <t>Funny Smile</t>
  </si>
  <si>
    <t>https://www.youtube.com/watch?v=VZSOeAbIXco</t>
  </si>
  <si>
    <t>YY71mcopces</t>
  </si>
  <si>
    <t>Shanu kay ghar kuku ðŸ“ aa gye ðŸ˜± #funny #comedy #youtubeshorts #youtubeshorts #shorts #vlog</t>
  </si>
  <si>
    <t>https://www.youtube.com/watch?v=YY71mcopces</t>
  </si>
  <si>
    <t>S17yfjjVc7s</t>
  </si>
  <si>
    <t>Kumpulan video shorts kocak dan gokil @Ryncesryana part 106.</t>
  </si>
  <si>
    <t>Ryncesryana</t>
  </si>
  <si>
    <t>https://www.youtube.com/watch?v=S17yfjjVc7s</t>
  </si>
  <si>
    <t>eakW_OTQxIA</t>
  </si>
  <si>
    <t>Try Not to Laugh Watching the Most Viewed RYAN HD LOMBARD Teachers vs Students Funny School Shorts 1</t>
  </si>
  <si>
    <t>https://www.youtube.com/watch?v=eakW_OTQxIA</t>
  </si>
  <si>
    <t>d_ZAd3rLJ_Y</t>
  </si>
  <si>
    <t>Arrange Marriage || A Short Film By Entertaining Tuber</t>
  </si>
  <si>
    <t>Entertaaining Tuber</t>
  </si>
  <si>
    <t>https://www.youtube.com/watch?v=d_ZAd3rLJ_Y</t>
  </si>
  <si>
    <t>I11Y62Q-V4k</t>
  </si>
  <si>
    <t>Shanu nay diya baba ko dhoka ðŸ˜± #funny #comedy #youtubeshorts #shorts #vlog g</t>
  </si>
  <si>
    <t>https://www.youtube.com/watch?v=I11Y62Q-V4k</t>
  </si>
  <si>
    <t>p2NsyJTGQGk</t>
  </si>
  <si>
    <t>Different typesðŸ–Šï¸ðŸ˜‚  Shorts Collection | Velujazz</t>
  </si>
  <si>
    <t>Velujazz official</t>
  </si>
  <si>
    <t>https://www.youtube.com/watch?v=p2NsyJTGQGk</t>
  </si>
  <si>
    <t>g4o2S70hF2A</t>
  </si>
  <si>
    <t>ðŸ¤« 9 Sec. à¤®à¥‡à¤‚ Short Viral âœ…| How To Viral Short Video On Youtube | Shorts Video Viral tips and tricks</t>
  </si>
  <si>
    <t>tech sujeet</t>
  </si>
  <si>
    <t>https://www.youtube.com/watch?v=g4o2S70hF2A</t>
  </si>
  <si>
    <t>ItZ_DQhuVqs</t>
  </si>
  <si>
    <t>Karihaiya Dole #Goldi Yadav #Kajal Tripathi | à¤•à¤°à¤¿à¤¹à¤ˆà¤¯à¤¾ à¤¡à¥‹à¤²à¥‡ #song #bhojpuri #shorts #video #shorts</t>
  </si>
  <si>
    <t>Worldwide Records Bhojpuri</t>
  </si>
  <si>
    <t>https://www.youtube.com/watch?v=ItZ_DQhuVqs&amp;list=RDItZ_DQhuVqs&amp;start_radio=1</t>
  </si>
  <si>
    <t>MyMl6YjmTBU</t>
  </si>
  <si>
    <t>Adhura Ae Raja #Sapna Chauhan #Goldi Yadav | à¤…à¤§à¥à¤°à¤¾ à¤ à¤°à¤¾à¤œà¤¾ #bhojpurisong #shorts #video 2026</t>
  </si>
  <si>
    <t>https://www.youtube.com/watch?v=MyMl6YjmTBU&amp;list=RDMyMl6YjmTBU&amp;start_radio=1</t>
  </si>
  <si>
    <t>hZoKXnSvR20</t>
  </si>
  <si>
    <t>Love Between Lines || Varsha Dsouza || Latest Telugu Short Films || Infinitum Media</t>
  </si>
  <si>
    <t>Varsha Dsouza</t>
  </si>
  <si>
    <t>https://www.youtube.com/watch?v=hZoKXnSvR20</t>
  </si>
  <si>
    <t>DJWrAUzGDoE</t>
  </si>
  <si>
    <t>LiDiRo reagiert auf Shorts #457 #lidiro #shorts</t>
  </si>
  <si>
    <t>https://www.youtube.com/watch?v=DJWrAUzGDoE</t>
  </si>
  <si>
    <t>XXMqAsfybO0</t>
  </si>
  <si>
    <t>REACTING TO MY 6 YEAR OLD DAUGHTER'S VIRAL YOUTUBE SHORTS</t>
  </si>
  <si>
    <t>The Rush Fam</t>
  </si>
  <si>
    <t>https://www.youtube.com/watch?v=XXMqAsfybO0</t>
  </si>
  <si>
    <t>2k7r0CR8vKM</t>
  </si>
  <si>
    <t>NEWðŸ˜±ðŸ‘»â¤ï¸BETER BÃ–CÃœK NEW VÄ°DEO #shorts TikTok</t>
  </si>
  <si>
    <t>https://www.youtube.com/watch?v=2k7r0CR8vKM</t>
  </si>
  <si>
    <t>klDRTZAZG10</t>
  </si>
  <si>
    <t>Kaali MataðŸŒŸðŸ›•Look ChallengeðŸŒ¸ðŸ™Prashant Sharma #shorts #ytshorts #funnyshorts #kalipuja #kali</t>
  </si>
  <si>
    <t>Prashant's Show</t>
  </si>
  <si>
    <t>https://www.youtube.com/watch?v=klDRTZAZG10</t>
  </si>
  <si>
    <t>cVV_xzT0Rp8</t>
  </si>
  <si>
    <t>Young Sheldon Cast: Then And Now 2025 | Real Name, Age &amp; Life Partners</t>
  </si>
  <si>
    <t>Celeb Culture</t>
  </si>
  <si>
    <t>https://www.youtube.com/watch?v=cVV_xzT0Rp8</t>
  </si>
  <si>
    <t>7T0JWRqXTPc</t>
  </si>
  <si>
    <t>LiDiRo reagiert auf Shorts #475 #lidiro #shorts</t>
  </si>
  <si>
    <t>https://www.youtube.com/watch?v=7T0JWRqXTPc</t>
  </si>
  <si>
    <t>DnpS4ZvlmZs</t>
  </si>
  <si>
    <t>LiDiRo reagiert auf Shorts #486 #lidiro #shorts</t>
  </si>
  <si>
    <t>https://www.youtube.com/watch?v=DnpS4ZvlmZs</t>
  </si>
  <si>
    <t>aqIFJycYAJs</t>
  </si>
  <si>
    <t>Shanu vs aali kon jetay ga ðŸ¤” #trending #funny #youtubeshorts #shorts #vlog</t>
  </si>
  <si>
    <t>https://www.youtube.com/watch?v=aqIFJycYAJs</t>
  </si>
  <si>
    <t>y7vrtbNrWSY</t>
  </si>
  <si>
    <t>One day of Marriage Vs one Year of marriage ðŸ˜…ðŸ¤© || #allariaarathi #aftermarriage</t>
  </si>
  <si>
    <t>https://www.youtube.com/watch?v=y7vrtbNrWSY</t>
  </si>
  <si>
    <t>MyRr0YXhvY0</t>
  </si>
  <si>
    <t>Most Memorable Day with our kidsðŸ˜ | Orey fun dhaðŸ˜œ #shorts #funny #love | With Love Nagaraj Sangeetha</t>
  </si>
  <si>
    <t>With Love Nagaraj Sangeetha</t>
  </si>
  <si>
    <t>https://www.youtube.com/watch?v=MyRr0YXhvY0</t>
  </si>
  <si>
    <t>jGkj5Wq31AY</t>
  </si>
  <si>
    <t>LOS MEJORES SHORTS DE LA SEMANA 2</t>
  </si>
  <si>
    <t>Dannika</t>
  </si>
  <si>
    <t>https://www.youtube.com/watch?v=jGkj5Wq31AY</t>
  </si>
  <si>
    <t>RYjGIePJgiQ</t>
  </si>
  <si>
    <t>Exams School VS College ðŸ˜‚ðŸ¤£ || Allari Aarathi Videos || Comedy Contents #trending #exams</t>
  </si>
  <si>
    <t>https://www.youtube.com/watch?v=RYjGIePJgiQ</t>
  </si>
  <si>
    <t>DNqDFOHwdWM</t>
  </si>
  <si>
    <t>Try Not to Laugh! Eddie Mora &amp; Mark Adams NEWEST Shorts 2026! P1</t>
  </si>
  <si>
    <t>https://www.youtube.com/watch?v=DNqDFOHwdWM</t>
  </si>
  <si>
    <t>Efbh1WyHZnc</t>
  </si>
  <si>
    <t>Viral shorts of Ifraz when he was just one and half year oldðŸ¥°ðŸ˜,how cute  mashallah ðŸ˜ #youtubeshorts</t>
  </si>
  <si>
    <t>https://www.youtube.com/watch?v=Efbh1WyHZnc</t>
  </si>
  <si>
    <t>yfuj4KvLsg4</t>
  </si>
  <si>
    <t>Bolalikda nimalar boâ€™lganðŸ˜‚ðŸ¥°â¤ï¸ #shorts #zeboraximova</t>
  </si>
  <si>
    <t xml:space="preserve">BONAMUR OFFICIAL </t>
  </si>
  <si>
    <t>https://www.youtube.com/watch?v=yfuj4KvLsg4</t>
  </si>
  <si>
    <t>o7GJzPhvOO0</t>
  </si>
  <si>
    <t>Try Not to Laugh! Mark Adams Teacher vs Marrk Shorts in 2025</t>
  </si>
  <si>
    <t>https://www.youtube.com/watch?v=o7GJzPhvOO0</t>
  </si>
  <si>
    <t>Z2QqtkasThs</t>
  </si>
  <si>
    <t>The WEIRDEST PENS in the worldðŸ«£ #unboxing #funny #beauty #haul #shorts</t>
  </si>
  <si>
    <t>Candy Superstar</t>
  </si>
  <si>
    <t>https://www.youtube.com/shorts/Z2QqtkasThs</t>
  </si>
  <si>
    <t>OzK3PNF0WqU</t>
  </si>
  <si>
    <t>EP3 | GIANT superheroes ðŸ˜± ðŸ’¥ | Remix2 Avengers vs DC - All Marvel Characters #avengers #shorts</t>
  </si>
  <si>
    <t>Brawl Spider Rank</t>
  </si>
  <si>
    <t>https://www.youtube.com/watch?v=OzK3PNF0WqU</t>
  </si>
  <si>
    <t>Zc3ac7EWdbE</t>
  </si>
  <si>
    <t>How to Escape  0, 15K and 30K View Jail - On YouTube Shorts</t>
  </si>
  <si>
    <t>Creatie</t>
  </si>
  <si>
    <t>https://www.youtube.com/watch?v=Zc3ac7EWdbE</t>
  </si>
  <si>
    <t>m9qzoT2MjeA</t>
  </si>
  <si>
    <t>LiDiRo reagiert auf Shorts #465 #lidiro #shorts</t>
  </si>
  <si>
    <t>https://www.youtube.com/watch?v=m9qzoT2MjeA</t>
  </si>
  <si>
    <t>XXwc4ch2nq8</t>
  </si>
  <si>
    <t>LiDiRo reagiert auf Shorts #450 #lidiro #shorts</t>
  </si>
  <si>
    <t>https://www.youtube.com/watch?v=XXwc4ch2nq8</t>
  </si>
  <si>
    <t>_W0xAcWzqDw</t>
  </si>
  <si>
    <t>LiDiRo reagiert auf Shorts #467 #lidiro #shorts</t>
  </si>
  <si>
    <t>https://www.youtube.com/watch?v=_W0xAcWzqDw</t>
  </si>
  <si>
    <t>AV_uAuExN1I</t>
  </si>
  <si>
    <t>Car Garage Adventure with Chris - Learn colors for kids</t>
  </si>
  <si>
    <t>Vlad and Niki</t>
  </si>
  <si>
    <t>https://www.youtube.com/watch?v=AV_uAuExN1I</t>
  </si>
  <si>
    <t>DrgWFt7m9sA</t>
  </si>
  <si>
    <t>à®¨à¯€ à®•à®¾à®Ÿà¯à®Ÿà¯à®®à¯ à®ªà®¾à®šà®¤à¯à®¤à¯à®•à¯à®•à¯ à®¤à¯†à®¯à¯à®µà®™à¯à®•à®³à¯ à®ˆà®Ÿà¯ à®‡à®²à¯à®²à¯ˆðŸ¥²ðŸ˜ #shorts #love</t>
  </si>
  <si>
    <t>https://www.youtube.com/watch?v=DrgWFt7m9sA</t>
  </si>
  <si>
    <t>TtlCTNlD6KQ</t>
  </si>
  <si>
    <t>ðŸ¥³501% YouTube Short Viral ðŸ“ˆ| short video viral tips and tricks | how to viral short video on youtube</t>
  </si>
  <si>
    <t>https://www.youtube.com/watch?v=TtlCTNlD6KQ</t>
  </si>
  <si>
    <t>44kPk_QBfYQ</t>
  </si>
  <si>
    <t>LiDiRo reagiert auf Shorts #437 #lidiro #shorts</t>
  </si>
  <si>
    <t>https://www.youtube.com/watch?v=44kPk_QBfYQ</t>
  </si>
  <si>
    <t>ojqfHOPFtjA</t>
  </si>
  <si>
    <t>I Tried YouTube Shorts For 30 Days | 10 Million Views in 30 days ðŸ˜Ž | ( Shocking Result ðŸ˜ )</t>
  </si>
  <si>
    <t>Prince GrowYT</t>
  </si>
  <si>
    <t>https://www.youtube.com/watch?v=ojqfHOPFtjA</t>
  </si>
  <si>
    <t>uNiZuwiCm9c</t>
  </si>
  <si>
    <t>LiDiRo reagiert auf Shorts #509 #lidiro #shorts</t>
  </si>
  <si>
    <t>https://www.youtube.com/watch?v=uNiZuwiCm9c</t>
  </si>
  <si>
    <t>xNLnFzUMJp8</t>
  </si>
  <si>
    <t>Hamari pehli car shanu ka birthday gift ðŸŽ #trending #vlog #shorts #youtubeshorts</t>
  </si>
  <si>
    <t>https://www.youtube.com/watch?v=xNLnFzUMJp8</t>
  </si>
  <si>
    <t>rKXI_w476WI</t>
  </si>
  <si>
    <t>YouTube Short 9 à¤¸à¥‡à¤•à¥‡à¤‚à¤¡ à¤®à¥‡à¤‚ ViralðŸ”¥| How To Viral Short Video On YouTube | Short Viral Tips and Tricks</t>
  </si>
  <si>
    <t>https://www.youtube.com/watch?v=rKXI_w476WI</t>
  </si>
  <si>
    <t>d4kGbi7N7JA</t>
  </si>
  <si>
    <t>LiDiRo reagiert auf Shorts #500 #lidiro #shorts</t>
  </si>
  <si>
    <t>https://www.youtube.com/watch?v=d4kGbi7N7JA</t>
  </si>
  <si>
    <t>MnUKprnjsac</t>
  </si>
  <si>
    <t>kajal à¤•à¥€ à¤¦à¤¿à¤µà¤¾à¤²à¥€ || golu kajal soni new shorts comedy films | viral comedy flims  #kajalsoni</t>
  </si>
  <si>
    <t>Dhiranjan Raj 2.0</t>
  </si>
  <si>
    <t>https://www.youtube.com/watch?v=MnUKprnjsac</t>
  </si>
  <si>
    <t>YtUH7IY1cak</t>
  </si>
  <si>
    <t>LOS MEJORES SHORTS DE LA SEMANA 11</t>
  </si>
  <si>
    <t>https://www.youtube.com/watch?v=YtUH7IY1cak</t>
  </si>
  <si>
    <t>cigzwlK3u2g</t>
  </si>
  <si>
    <t>CÃ³mo Crear YouTube Shorts Virales con IA GRATIS e Ilimitado</t>
  </si>
  <si>
    <t>Imperator</t>
  </si>
  <si>
    <t>https://www.youtube.com/watch?v=cigzwlK3u2g</t>
  </si>
  <si>
    <t>q-7TKF6V1To</t>
  </si>
  <si>
    <t>8 Spider-Man Team vs TREASURE SERBIAN Lady Game on Abandoned Beach !! ( Scary Mystery Action POV )</t>
  </si>
  <si>
    <t>FLife TV</t>
  </si>
  <si>
    <t>https://www.youtube.com/watch?v=q-7TKF6V1To</t>
  </si>
  <si>
    <t>1lwcDeiySzQ</t>
  </si>
  <si>
    <t>ÐŸÐ ÐžÐ›Ð˜Ð¡Ð¢ÐÐ› Ð”Ð•Ð¡Ð¯Ð¢Ð¬ Ð¢Ð«Ð¡Ð¯Ð§ Shorts! ÐœÐ•ÐÐ¯ Ð—ÐÐ‘Ð›ÐžÐšÐ˜Ð ÐžÐ’ÐÐ› Ð®Ð¢Ð£Ð‘(ÐÐ• Ð¨Ð£Ð¢ÐšÐ) Ð¨ÐžÐ Ð¢Ð¡ Ð§Ð•Ð›Ð›Ð•ÐÐ”Ð–!</t>
  </si>
  <si>
    <t>Ð“Ð›Ð•ÐÐ¢</t>
  </si>
  <si>
    <t>https://www.youtube.com/watch?v=1lwcDeiySzQ</t>
  </si>
  <si>
    <t>7wYb5Zv2K4M</t>
  </si>
  <si>
    <t>Doctor Tan is taking Pinki away, Please helppp ðŸ˜±ðŸ†˜| Incredibox Sprunki In Real Life</t>
  </si>
  <si>
    <t>RUNKI REAL LIFE</t>
  </si>
  <si>
    <t>https://www.youtube.com/watch?v=7wYb5Zv2K4M</t>
  </si>
  <si>
    <t>tRArnar97q8</t>
  </si>
  <si>
    <t>à¤œà¤²à¥à¤¦à¥€ à¤ªà¤•à¤¡à¤¼à¥‹ Viral Trend ðŸ”¥ à¤à¤¸à¤¾ Shorts à¤¡à¤²à¤¤à¥‡ à¤¹à¥€ Viral à¤¹à¥‹à¤—à¤¾ âœ…  Youtube Growth Secrets 2025 ðŸš€ Tech Aakash</t>
  </si>
  <si>
    <t>https://www.youtube.com/watch?v=tRArnar97q8</t>
  </si>
  <si>
    <t>rvPiCpyW17M</t>
  </si>
  <si>
    <t>Whale Valley | A Short Film by GuÃ°mundur Arnar GuÃ°mundsson</t>
  </si>
  <si>
    <t>https://www.youtube.com/watch?v=rvPiCpyW17M</t>
  </si>
  <si>
    <t>ycyryfTLDdY</t>
  </si>
  <si>
    <t>Top New Funniest Comedy Video ðŸ˜‚ Most Watch Viral Funny Video 2022 Episode 84 By my family</t>
  </si>
  <si>
    <t>MY FAMILY</t>
  </si>
  <si>
    <t>https://www.youtube.com/watch?v=ycyryfTLDdY</t>
  </si>
  <si>
    <t>es2iQ7Hc8Uo</t>
  </si>
  <si>
    <t>Worldâ€™s FUNNIEST YouTube Shorts!</t>
  </si>
  <si>
    <t>https://www.youtube.com/watch?v=es2iQ7Hc8Uo</t>
  </si>
  <si>
    <t>zqzR4fh0vD0</t>
  </si>
  <si>
    <t>25 Sad Songs for Youtube Shorts / Tiktok / Reels</t>
  </si>
  <si>
    <t>Froggy</t>
  </si>
  <si>
    <t>https://www.youtube.com/watch?v=zqzR4fh0vD0&amp;list=RDzqzR4fh0vD0&amp;start_radio=1</t>
  </si>
  <si>
    <t>MNR1AsWw3mg</t>
  </si>
  <si>
    <t>Kumpulan video shorts kocak dan gokil @Ryncesryana part 83.</t>
  </si>
  <si>
    <t>https://www.youtube.com/watch?v=MNR1AsWw3mg</t>
  </si>
  <si>
    <t>phd6U9OYqJw</t>
  </si>
  <si>
    <t>Which LABUBU are YOU Challenge!!ðŸ«¢â˜ï¸ðŸŒˆðŸ‘‘â‰ï¸ #Shorts</t>
  </si>
  <si>
    <t>Rhia Official</t>
  </si>
  <si>
    <t>https://www.youtube.com/shorts/phd6U9OYqJw</t>
  </si>
  <si>
    <t>sb6X_npnTi8</t>
  </si>
  <si>
    <t>SIMPLE Act Of Kindness That Will Make You CryðŸ˜­ #humanity #prankvideo #video #mrbeast #trends #shorts</t>
  </si>
  <si>
    <t xml:space="preserve">Mrbike Global </t>
  </si>
  <si>
    <t>https://www.youtube.com/watch?v=sb6X_npnTi8</t>
  </si>
  <si>
    <t>pYiFYRMtLL4</t>
  </si>
  <si>
    <t>Suprit Banaa Shaitan Part-2 || Suraj actor short film / #shortfilm #surajactor #shaitan</t>
  </si>
  <si>
    <t>Edits Tv</t>
  </si>
  <si>
    <t>https://www.youtube.com/watch?v=pYiFYRMtLL4</t>
  </si>
  <si>
    <t>9ob69_zi_84</t>
  </si>
  <si>
    <t>Kumpulan video shorts kocak dan gokil @Ryncesryana part 103.</t>
  </si>
  <si>
    <t>https://www.youtube.com/watch?v=9ob69_zi_84</t>
  </si>
  <si>
    <t>EQ73E0UlPDo</t>
  </si>
  <si>
    <t>isi kulkas dengan permen lunak viral - tiktok Susanto Gouw #shorts</t>
  </si>
  <si>
    <t>Susanto Gouw</t>
  </si>
  <si>
    <t>https://www.youtube.com/watch?v=EQ73E0UlPDo</t>
  </si>
  <si>
    <t>zrhf0gFVbpQ</t>
  </si>
  <si>
    <t>Mening onam ðŸ˜‚  Liil Khuramov top vinelar to'plami ðŸ”¥#liilkhuramov #shorts #vines</t>
  </si>
  <si>
    <t>101 FAKT</t>
  </si>
  <si>
    <t>https://www.youtube.com/watch?v=zrhf0gFVbpQ</t>
  </si>
  <si>
    <t>fO0RgZ0C1Jo</t>
  </si>
  <si>
    <t>Smart appliances, new gadgets, versatileutensils, toolitems #funny #shorts</t>
  </si>
  <si>
    <t>Tamim Bhai Here</t>
  </si>
  <si>
    <t>https://www.youtube.com/watch?v=fO0RgZ0C1Jo</t>
  </si>
  <si>
    <t>2huKjxG---g</t>
  </si>
  <si>
    <t>kumpulan video shorts kocak dan gokil @Ryncesryana part 76.</t>
  </si>
  <si>
    <t>https://www.youtube.com/watch?v=2huKjxG---g</t>
  </si>
  <si>
    <t>BOX5N9Z5gEM</t>
  </si>
  <si>
    <t>0 views problem on youtube shorts ðŸ˜­ shorts par views kaise badhaye || shorts viral trick</t>
  </si>
  <si>
    <t>Technical talk with me</t>
  </si>
  <si>
    <t>https://www.youtube.com/watch?v=BOX5N9Z5gEM</t>
  </si>
  <si>
    <t>QmexVFsMwgc</t>
  </si>
  <si>
    <t>Stanleyâ€™s on ðŸ’¯ #shorts</t>
  </si>
  <si>
    <t>Greyâ€™s World</t>
  </si>
  <si>
    <t>https://www.youtube.com/shorts/QmexVFsMwgc</t>
  </si>
  <si>
    <t>9FDVvWR91ww</t>
  </si>
  <si>
    <t>Sister love ðŸ’• #shorts</t>
  </si>
  <si>
    <t>Sierra &amp; Rhia FAM</t>
  </si>
  <si>
    <t>https://www.youtube.com/shorts/9FDVvWR91ww</t>
  </si>
  <si>
    <t>jup5dxcWNUM</t>
  </si>
  <si>
    <t>BEST slime video on YouTube! #shorts</t>
  </si>
  <si>
    <t>https://www.youtube.com/shorts/jup5dxcWNUM</t>
  </si>
  <si>
    <t>47NM_WcNPtM</t>
  </si>
  <si>
    <t>She Wears WRONG Slippers! ðŸ¤£ #funny #shorts</t>
  </si>
  <si>
    <t>Boop Roblox</t>
  </si>
  <si>
    <t>https://www.youtube.com/shorts/47NM_WcNPtM</t>
  </si>
  <si>
    <t>GJxIUtIlRGs</t>
  </si>
  <si>
    <t>â€œjust checking it was meâ€œ - Salish | #crush #salishmatter #youtubeshorts #shorts #viralvideo #ship</t>
  </si>
  <si>
    <t>nalishxwonder</t>
  </si>
  <si>
    <t>https://www.youtube.com/shorts/GJxIUtIlRGs</t>
  </si>
  <si>
    <t>NX1dk_JHHaA</t>
  </si>
  <si>
    <t>JUICY DROP GUMMY STIX #shorts #candy #asmr</t>
  </si>
  <si>
    <t>Kim&amp;Liz Too</t>
  </si>
  <si>
    <t>https://www.youtube.com/shorts/NX1dk_JHHaA</t>
  </si>
  <si>
    <t>JypQdducDh0</t>
  </si>
  <si>
    <t>ASMR PRINCESS SELF CARE PT. 1 ðŸ’“ðŸŽ€ #selfcare #princess #asmr #shorts</t>
  </si>
  <si>
    <t xml:space="preserve">Katieâ€™s Nails </t>
  </si>
  <si>
    <t>https://www.youtube.com/shorts/JypQdducDh0</t>
  </si>
  <si>
    <t>A0frtMt_hp8</t>
  </si>
  <si>
    <t>Ultimate Hair Care Routine for a Clean and Refreshed Look #hair #how #beautiful #shorts #amazing</t>
  </si>
  <si>
    <t>Derrick Byron</t>
  </si>
  <si>
    <t>https://www.youtube.com/shorts/A0frtMt_hp8</t>
  </si>
  <si>
    <t>Z3zwT7P4kdM</t>
  </si>
  <si>
    <t>wash my hair clips with me ##cleaninghacks #cleaning #hairstyle #asmrsounds #viral #shorts</t>
  </si>
  <si>
    <t>The Hayeks</t>
  </si>
  <si>
    <t>https://www.youtube.com/shorts/Z3zwT7P4kdM</t>
  </si>
  <si>
    <t>Eb0430sPrJI</t>
  </si>
  <si>
    <t>Does the Stingray shuffle ACTUALLY work?! ðŸ˜³ #shorts</t>
  </si>
  <si>
    <t>Parker Seidel</t>
  </si>
  <si>
    <t>https://www.youtube.com/shorts/Eb0430sPrJI</t>
  </si>
  <si>
    <t>ZTUOzG6QSRo</t>
  </si>
  <si>
    <t>When You Can Never Find The Nerf Darts ðŸ¤£ #shorts #relatable</t>
  </si>
  <si>
    <t>depeet</t>
  </si>
  <si>
    <t>https://www.youtube.com/shorts/ZTUOzG6QSRo</t>
  </si>
  <si>
    <t>VCygVS6vDHc</t>
  </si>
  <si>
    <t>Fake vs Real Tsunami ðŸŒŠ#shorts #ytshorts  #short</t>
  </si>
  <si>
    <t>Greed_Ghost</t>
  </si>
  <si>
    <t>https://www.youtube.com/shorts/VCygVS6vDHc</t>
  </si>
  <si>
    <t>edyh71THv_8</t>
  </si>
  <si>
    <t>The best kids ðŸ”¥ðŸ”¥ðŸ”¥ #filaretiki #social #shorts</t>
  </si>
  <si>
    <t>Filaretiki</t>
  </si>
  <si>
    <t>https://www.youtube.com/shorts/edyh71THv_8</t>
  </si>
  <si>
    <t>R0zeS4T6inM</t>
  </si>
  <si>
    <t>When you forget you have 3 siblings #jonathanjoly #shorts #daughter</t>
  </si>
  <si>
    <t>https://www.youtube.com/shorts/R0zeS4T6inM</t>
  </si>
  <si>
    <t>5w169nrGZHY</t>
  </si>
  <si>
    <t>ASMR Pink Platter ðŸ’— #shorts #short #pink #platter #candy #krabbypatty #mentos #candyfunhouse</t>
  </si>
  <si>
    <t>https://www.youtube.com/shorts/5w169nrGZHY</t>
  </si>
  <si>
    <t>KkQ6osi28V0</t>
  </si>
  <si>
    <t>Funniest slime video on YouTube! #shorts #londyn</t>
  </si>
  <si>
    <t>https://www.youtube.com/shorts/KkQ6osi28V0</t>
  </si>
  <si>
    <t>EqQz2rHKHxE</t>
  </si>
  <si>
    <t>Monster drinks boba tea ðŸ§‹ðŸ˜‚ #shorts</t>
  </si>
  <si>
    <t>Yoeslan</t>
  </si>
  <si>
    <t>https://www.youtube.com/shorts/EqQz2rHKHxE</t>
  </si>
  <si>
    <t>UUb68mu2G1M</t>
  </si>
  <si>
    <t>LegendaryðŸ˜‚ðŸ‡ºðŸ‡¬ #shorts</t>
  </si>
  <si>
    <t>Noel Robinson</t>
  </si>
  <si>
    <t>https://www.youtube.com/shorts/UUb68mu2G1M</t>
  </si>
  <si>
    <t>qxdOxVoY9RU</t>
  </si>
  <si>
    <t>Rakhi Day Turned into Sofa Festival ðŸ›‹ï¸ðŸŽ‰ðŸ˜‚ | #shorts #video #viralvideo</t>
  </si>
  <si>
    <t>Rv Factos</t>
  </si>
  <si>
    <t>https://www.youtube.com/shorts/qxdOxVoY9RU</t>
  </si>
  <si>
    <t>zNh8hE5MSok</t>
  </si>
  <si>
    <t>That weird staring baby | Manish Kharage #shorts</t>
  </si>
  <si>
    <t>Manish Kharage</t>
  </si>
  <si>
    <t>https://www.youtube.com/shorts/zNh8hE5MSok</t>
  </si>
  <si>
    <t>K9b-md6CaVc</t>
  </si>
  <si>
    <t>Wait For the End..!!ðŸ˜Twist irukkuðŸ˜… #shorts</t>
  </si>
  <si>
    <t>Days With Mona</t>
  </si>
  <si>
    <t>https://www.youtube.com/shorts/K9b-md6CaVc</t>
  </si>
  <si>
    <t>KGZzuVNwJHY</t>
  </si>
  <si>
    <t>Modi is my Daddy : Latest Telugu Comedy Short Film 2014 : Standby TV</t>
  </si>
  <si>
    <t>Standby TV</t>
  </si>
  <si>
    <t>https://www.youtube.com/watch?v=KGZzuVNwJHY</t>
  </si>
  <si>
    <t>8PvRGqD6Nk8</t>
  </si>
  <si>
    <t>Londyns first dance competition!! #dlafam #londyn #shorts</t>
  </si>
  <si>
    <t>https://www.youtube.com/shorts/8PvRGqD6Nk8</t>
  </si>
  <si>
    <t>q2lhVK81tqo</t>
  </si>
  <si>
    <t>I'm just a girl ðŸ’“âœ¨ï¸ #makeup #shorts</t>
  </si>
  <si>
    <t xml:space="preserve">Blogger_Girls </t>
  </si>
  <si>
    <t>https://www.youtube.com/shorts/q2lhVK81tqo</t>
  </si>
  <si>
    <t>dWKKrjVu6j4</t>
  </si>
  <si>
    <t>MARVEL RIVALS SEASON 7 REVEALED #shorts</t>
  </si>
  <si>
    <t>jacobweeby</t>
  </si>
  <si>
    <t>https://www.youtube.com/shorts/dWKKrjVu6j4</t>
  </si>
  <si>
    <t>lpi0snyddic</t>
  </si>
  <si>
    <t>That two enemy teachers in school ðŸ‘©â€ðŸ«ðŸ« #shorts #sejalgabashorts #school</t>
  </si>
  <si>
    <t>https://www.youtube.com/shorts/lpi0snyddic</t>
  </si>
  <si>
    <t>XyH_GWoPrNs</t>
  </si>
  <si>
    <t>SHEâ€™S SO TALL! ðŸ¤£#shorts #tiktok #trending</t>
  </si>
  <si>
    <t>https://www.youtube.com/shorts/XyH_GWoPrNs</t>
  </si>
  <si>
    <t>y8kneKeNyCI</t>
  </si>
  <si>
    <t>Belly Button Song Dance! Learn about the Body! CoComelon #Shorts</t>
  </si>
  <si>
    <t>Cocomelon - Nursery Rhymes</t>
  </si>
  <si>
    <t>https://www.youtube.com/shorts/y8kneKeNyCI</t>
  </si>
  <si>
    <t>2ZsJHNVq7CY</t>
  </si>
  <si>
    <t>DO YOU HAPPEN TO HAVEâ€¦??? #shorts #youtubeshorts</t>
  </si>
  <si>
    <t>ZoeTube</t>
  </si>
  <si>
    <t>https://www.youtube.com/shorts/2ZsJHNVq7CY</t>
  </si>
  <si>
    <t>cr3FkN8naY0</t>
  </si>
  <si>
    <t>Minecraft but I'm SHORT #shorts</t>
  </si>
  <si>
    <t>Ethobot</t>
  </si>
  <si>
    <t>https://www.youtube.com/shorts/cr3FkN8naY0</t>
  </si>
  <si>
    <t>35XAGnaX058</t>
  </si>
  <si>
    <t>The Shadow: Episode I | Short Film</t>
  </si>
  <si>
    <t>Kings of Horror</t>
  </si>
  <si>
    <t>https://www.youtube.com/watch?v=35XAGnaX058</t>
  </si>
  <si>
    <t>LuAFkBGioYY</t>
  </si>
  <si>
    <t>That Foodie ðŸ¤£ #shorts #trendingonshorts #love #funny</t>
  </si>
  <si>
    <t>Praveen Pranav</t>
  </si>
  <si>
    <t>https://www.youtube.com/shorts/LuAFkBGioYY</t>
  </si>
  <si>
    <t>1GDkjZm6coU</t>
  </si>
  <si>
    <t>Heart-touching Cute Kitten Dance ðŸ¾ #shorts #kittenrescue #animalrescue #kittenrevenge</t>
  </si>
  <si>
    <t>Story Arc Paws</t>
  </si>
  <si>
    <t>https://www.youtube.com/shorts/1GDkjZm6coU</t>
  </si>
  <si>
    <t>91Gvu5GhrqU</t>
  </si>
  <si>
    <t>BEDAZZLING MY PRESS ON NAILS (sparkly NAILS x 100âœ¨) #youtubeshorts #shorts #nails</t>
  </si>
  <si>
    <t>MaybeHeilly</t>
  </si>
  <si>
    <t>https://www.youtube.com/shorts/91Gvu5GhrqU</t>
  </si>
  <si>
    <t>ipxkqTZj6P8</t>
  </si>
  <si>
    <t>failed strategies of predator mosquito! ðŸ¤£ (best animation memes) #shorts</t>
  </si>
  <si>
    <t>Avenu Animations</t>
  </si>
  <si>
    <t>https://www.youtube.com/shorts/ipxkqTZj6P8</t>
  </si>
  <si>
    <t>31DHd7RV6B0</t>
  </si>
  <si>
    <t>DIY no paper squishy â¤ï¸ #shorts #youtubeshorts #art #craft</t>
  </si>
  <si>
    <t>AR art and craft</t>
  </si>
  <si>
    <t>https://www.youtube.com/shorts/31DHd7RV6B0</t>
  </si>
  <si>
    <t>W34KugNLS5w</t>
  </si>
  <si>
    <t>That one Short height wali bride ðŸ‘° #shorts #ytshorts #sejalgabashorts #marriage</t>
  </si>
  <si>
    <t>https://www.youtube.com/shorts/W34KugNLS5w</t>
  </si>
  <si>
    <t>p4WlYxpdyuc</t>
  </si>
  <si>
    <t>World's MOST Viewed YouTube Shorts!</t>
  </si>
  <si>
    <t>https://www.youtube.com/watch?v=p4WlYxpdyuc</t>
  </si>
  <si>
    <t>7-MQMU4U9aM</t>
  </si>
  <si>
    <t>youtube par short video kaise banaye !! how to make shorts on youtube !! short video kaise dale</t>
  </si>
  <si>
    <t>Creator Junction</t>
  </si>
  <si>
    <t>https://www.youtube.com/watch?v=7-MQMU4U9aM</t>
  </si>
  <si>
    <t>deJMGX8HvL8</t>
  </si>
  <si>
    <t>No-look, no problem ðŸ‘€ #nfl #shorts #rams</t>
  </si>
  <si>
    <t>Los Angeles Rams</t>
  </si>
  <si>
    <t>https://www.youtube.com/shorts/deJMGX8HvL8</t>
  </si>
  <si>
    <t>HhY3qsTPB_Q</t>
  </si>
  <si>
    <t>ek ram bhakt ki kahani #youtubeshorts #shorts</t>
  </si>
  <si>
    <t xml:space="preserve">Ismart kavitha </t>
  </si>
  <si>
    <t>https://www.youtube.com/watch?v=HhY3qsTPB_Q</t>
  </si>
  <si>
    <t>coahf5UXoV8</t>
  </si>
  <si>
    <t>Yangi vaynlar #54 (qisqacha va zoâ€™rlariðŸ‘ŒðŸ¤£)</t>
  </si>
  <si>
    <t>Shepm oilasi</t>
  </si>
  <si>
    <t>https://www.youtube.com/watch?v=coahf5UXoV8</t>
  </si>
  <si>
    <t>8Si7WFFWnlU</t>
  </si>
  <si>
    <t>Took 12 Years to Make (Watch our Family Grow) ðŸ¥° #shorts</t>
  </si>
  <si>
    <t>ockeydockey</t>
  </si>
  <si>
    <t>https://www.youtube.com/shorts/8Si7WFFWnlU</t>
  </si>
  <si>
    <t>sPDe8IzniVM</t>
  </si>
  <si>
    <t>Changeling | A Short Film by Maria Steinmetz (with English subtitles)</t>
  </si>
  <si>
    <t>https://www.youtube.com/watch?v=sPDe8IzniVM</t>
  </si>
  <si>
    <t>b9hRMEJBOS0</t>
  </si>
  <si>
    <t>Packing School Lunch *REAL FOOD* #shorts</t>
  </si>
  <si>
    <t>Unique Daily</t>
  </si>
  <si>
    <t>https://www.youtube.com/shorts/b9hRMEJBOS0</t>
  </si>
  <si>
    <t>xv2n4W1WevI</t>
  </si>
  <si>
    <t>INTROVERT FAMILY #shorts #family #food #dinner #dine #funny #relatable #comedy #fun</t>
  </si>
  <si>
    <t>Baccha Mat Bolna</t>
  </si>
  <si>
    <t>https://www.youtube.com/shorts/xv2n4W1WevI</t>
  </si>
  <si>
    <t>0-C52W7AnII</t>
  </si>
  <si>
    <t>Suprit Ko Lagaya Rang || Suraj actor short film / #shortfilm #surajactor #lovestory</t>
  </si>
  <si>
    <t>Suraj Priti Official</t>
  </si>
  <si>
    <t>https://www.youtube.com/watch?v=0-C52W7AnII</t>
  </si>
  <si>
    <t>hQwXF7QM7M0</t>
  </si>
  <si>
    <t>Whatâ€™s the BEST Social Media Family Fashion for Huntrix? | DIY Fashion Paper Dolls</t>
  </si>
  <si>
    <t>Eira Doll</t>
  </si>
  <si>
    <t>https://www.youtube.com/watch?v=hQwXF7QM7M0</t>
  </si>
  <si>
    <t>JKMKAvM2Zas</t>
  </si>
  <si>
    <t>I GOT A FREE SURRON #shorts #ebike #surron #bikelife #viral</t>
  </si>
  <si>
    <t>Oneway Ben</t>
  </si>
  <si>
    <t>https://www.youtube.com/shorts/JKMKAvM2Zas</t>
  </si>
  <si>
    <t>uu2pd7C5AoA</t>
  </si>
  <si>
    <t>KUMPULAN VIDEO SHORTS ESKRIM ICECREAM PART 104 BAGI BAGI AGAR PUDING JELLY SESUAI EMOJI BUAH</t>
  </si>
  <si>
    <t>EsKrim IceCream</t>
  </si>
  <si>
    <t>https://www.youtube.com/watch?v=uu2pd7C5AoA</t>
  </si>
  <si>
    <t>_sdgfxcp2fA</t>
  </si>
  <si>
    <t>BETER BÃ–CÃœK BEST OLD EMOTIONAL VIDEOSðŸ¥¹â¤ï¸ðŸ‘€ #shorts</t>
  </si>
  <si>
    <t>https://www.youtube.com/watch?v=_sdgfxcp2fA</t>
  </si>
  <si>
    <t>3OxOPiHYyzU</t>
  </si>
  <si>
    <t>YOSHLIKKA QAYTAMIZ / SARA TOâ€™PLAM-2</t>
  </si>
  <si>
    <t>Shahboz Sattorov</t>
  </si>
  <si>
    <t>https://www.youtube.com/watch?v=3OxOPiHYyzU</t>
  </si>
  <si>
    <t>XrP7YqfuMKs</t>
  </si>
  <si>
    <t>Spreading Gyan Extra</t>
  </si>
  <si>
    <t>https://www.youtube.com/watch?v=XrP7YqfuMKs</t>
  </si>
  <si>
    <t>hwlKSdMbj4s</t>
  </si>
  <si>
    <t>The End ðŸ˜‚ðŸ˜‚ |Indian family #shorts #indian #chotabhai #school</t>
  </si>
  <si>
    <t>PR PRESENTS</t>
  </si>
  <si>
    <t>https://www.youtube.com/shorts/hwlKSdMbj4s</t>
  </si>
  <si>
    <t>T5FzQZ-x2Fk</t>
  </si>
  <si>
    <t>Son of Piggyzilla Strikes Back | Short Horror (P2)</t>
  </si>
  <si>
    <t>https://www.youtube.com/watch?v=T5FzQZ-x2Fk</t>
  </si>
  <si>
    <t>qVD17eRxKX0</t>
  </si>
  <si>
    <t>Mahadev â¤ï¸ðŸ™ #shorts #thebnfamily #love #shortsviral #maa</t>
  </si>
  <si>
    <t>The BN Family</t>
  </si>
  <si>
    <t>https://www.youtube.com/shorts/qVD17eRxKX0</t>
  </si>
  <si>
    <t>SfZhyis0a5g</t>
  </si>
  <si>
    <t>à¤®à¤œà¥‡à¤¦à¤¾à¤° à¤¸à¥à¤•à¥‚à¤² à¤¹à¥ˆà¤•à¥à¤¸ || Gotcha! Yes à¤¦à¥à¤µà¤¾à¤°à¤¾ à¤¸à¥à¤®à¤¾à¤°à¥à¤Ÿ à¤›à¤¾à¤¤à¥à¤°à¥‹à¤‚ à¤•à¥‡ à¤²à¤¿à¤ à¤¸à¥€à¤•à¥à¤°à¥‡à¤Ÿ à¤”à¤° à¤•à¥‚à¤² à¤Ÿà¥à¤°à¤¿à¤•à¥à¤¸</t>
  </si>
  <si>
    <t>Gotcha! Yes Hindi</t>
  </si>
  <si>
    <t>https://www.youtube.com/watch?v=SfZhyis0a5g</t>
  </si>
  <si>
    <t>7xGBgbBWBHs</t>
  </si>
  <si>
    <t>10 Things I Bought My DOGS #shorts #justicebuys #products</t>
  </si>
  <si>
    <t>Justice Buys</t>
  </si>
  <si>
    <t>https://www.youtube.com/shorts/7xGBgbBWBHs</t>
  </si>
  <si>
    <t>tersfjP2-bc</t>
  </si>
  <si>
    <t>Bart Loses His Tooth ðŸ¦· #simpsons #shorts</t>
  </si>
  <si>
    <t>TwinCoconuts</t>
  </si>
  <si>
    <t>https://www.youtube.com/shorts/tersfjP2-bc</t>
  </si>
  <si>
    <t>IDiaSjHg3dU</t>
  </si>
  <si>
    <t>OPA OPERATSIYASI-2 / SATTOROVLAR OILASI 95-QISM</t>
  </si>
  <si>
    <t>https://www.youtube.com/watch?v=IDiaSjHg3dU</t>
  </si>
  <si>
    <t>p-oluNEJqVE</t>
  </si>
  <si>
    <t>Svamp | A Short Film by Charlotta Miller (with English subtitles)</t>
  </si>
  <si>
    <t>https://www.youtube.com/watch?v=p-oluNEJqVE</t>
  </si>
  <si>
    <t>oQbR1M9hg-0</t>
  </si>
  <si>
    <t>Dead End (Short Film)</t>
  </si>
  <si>
    <t>Greg Scarnici</t>
  </si>
  <si>
    <t>https://www.youtube.com/watch?v=oQbR1M9hg-0</t>
  </si>
  <si>
    <t>brQNAiBinE8</t>
  </si>
  <si>
    <t>Mon Ditey Chai - Week In Short - Ep no 15 - Zee Bangla</t>
  </si>
  <si>
    <t>Zee Bangla</t>
  </si>
  <si>
    <t>https://www.youtube.com/watch?v=brQNAiBinE8</t>
  </si>
  <si>
    <t>ihiXdppuMVw</t>
  </si>
  <si>
    <t>Sigma baby part-3 ðŸ«£ðŸ«£ #shorts #shortsvideo #cutebaby #cute #trending #viral</t>
  </si>
  <si>
    <t>Crazy Dwani For You</t>
  </si>
  <si>
    <t>https://www.youtube.com/shorts/ihiXdppuMVw</t>
  </si>
  <si>
    <t>yLCqccNMbbg</t>
  </si>
  <si>
    <t>Itâ€™s too BIG !!! @bayashi_tv #shorts</t>
  </si>
  <si>
    <t>Guma Cook</t>
  </si>
  <si>
    <t>https://www.youtube.com/shorts/yLCqccNMbbg</t>
  </si>
  <si>
    <t>fAXXt6e3ECU</t>
  </si>
  <si>
    <t>Yaazh inidhu inidhu - Tamil Short Film - RedPix Short Films</t>
  </si>
  <si>
    <t>Red Pix Short films</t>
  </si>
  <si>
    <t>https://www.youtube.com/watch?v=fAXXt6e3ECU</t>
  </si>
  <si>
    <t>fUnltHzJ790</t>
  </si>
  <si>
    <t>Short</t>
  </si>
  <si>
    <t>972film</t>
  </si>
  <si>
    <t>https://www.youtube.com/watch?v=fUnltHzJ790</t>
  </si>
  <si>
    <t>ecF0YXaysjY</t>
  </si>
  <si>
    <t>Mukut - Week In Short - Ep no 9 - Zee Bangla</t>
  </si>
  <si>
    <t>https://www.youtube.com/watch?v=ecF0YXaysjY</t>
  </si>
  <si>
    <t>G6cjsuXfDy8</t>
  </si>
  <si>
    <t>My Happy End | A Short Film by Milen Vitanov</t>
  </si>
  <si>
    <t>https://www.youtube.com/watch?v=G6cjsuXfDy8</t>
  </si>
  <si>
    <t>6LP-DzyHqA4</t>
  </si>
  <si>
    <t>Lokomoschine | A Short Film by Ulrike Schulz And Nikolai Neumetzler</t>
  </si>
  <si>
    <t>https://www.youtube.com/watch?v=6LP-DzyHqA4</t>
  </si>
  <si>
    <t>0b5mWSFV8jU</t>
  </si>
  <si>
    <t>Arimugam- A Frienship Tamil Short Film- Redpix Short Film</t>
  </si>
  <si>
    <t>https://www.youtube.com/watch?v=0b5mWSFV8jU</t>
  </si>
  <si>
    <t>1zQ6Qz4VDJY</t>
  </si>
  <si>
    <t>Sushi in the future and past! ðŸ˜µðŸ£ #shorts #radmiru</t>
  </si>
  <si>
    <t>MUKBANG Food</t>
  </si>
  <si>
    <t>https://www.youtube.com/shorts/1zQ6Qz4VDJY</t>
  </si>
  <si>
    <t>n70Ag96H3B4</t>
  </si>
  <si>
    <t>Ferrari SUVs vs Lamborghini Urus #cars #shorts</t>
  </si>
  <si>
    <t>Aznlytics</t>
  </si>
  <si>
    <t>https://www.youtube.com/watch?v=n70Ag96H3B4</t>
  </si>
  <si>
    <t>yy2Fan5aWJo</t>
  </si>
  <si>
    <t>Vamos Caballeros | A Short Film by Saskia Hoffmann</t>
  </si>
  <si>
    <t>https://www.youtube.com/watch?v=yy2Fan5aWJo</t>
  </si>
  <si>
    <t>fdrLh6TTyow</t>
  </si>
  <si>
    <t>18 Paw Patrol toys Trolls toys Angry Birds toys Hello Kitty toys Surprise Eggs Opening #109</t>
  </si>
  <si>
    <t>Polish Surprise Eggs</t>
  </si>
  <si>
    <t>https://www.youtube.com/watch?v=fdrLh6TTyow</t>
  </si>
  <si>
    <t>AHkT4CNk6DE</t>
  </si>
  <si>
    <t>BEST HORROR VIDEOS FROM TOPRAK AND HIS FRIENDS ðŸ˜±âœ…âŒ #shorts</t>
  </si>
  <si>
    <t>https://www.youtube.com/watch?v=AHkT4CNk6DE</t>
  </si>
  <si>
    <t>XHLs8aYhgdw</t>
  </si>
  <si>
    <t>Wait For End ðŸ’€ðŸ¤£ | Mini Vlog #shorts #minivlog #ashortaday #vlog #tranding #cats #cat</t>
  </si>
  <si>
    <t>Sirf Shreyansh</t>
  </si>
  <si>
    <t>https://www.youtube.com/shorts/XHLs8aYhgdw</t>
  </si>
  <si>
    <t>4ZJmLwBztfs</t>
  </si>
  <si>
    <t>Gafla</t>
  </si>
  <si>
    <t>Junglee Film Club</t>
  </si>
  <si>
    <t>https://www.youtube.com/watch?v=4ZJmLwBztfs</t>
  </si>
  <si>
    <t>gsLgmuQh1WA</t>
  </si>
  <si>
    <t>FUNERAL HOME | Cries in the Night | Barry Morse | Lesleh Donaldson | Full Length Movie | English</t>
  </si>
  <si>
    <t>MOVIEHOLIC</t>
  </si>
  <si>
    <t>https://www.youtube.com/watch?v=gsLgmuQh1WA</t>
  </si>
  <si>
    <t>4tbQwbpiyDw</t>
  </si>
  <si>
    <t>LOST CANYON - William Boyd, Andy Clyde, Jay Kirby - Full Western Movie [English] - 1942</t>
  </si>
  <si>
    <t>CowboyTV</t>
  </si>
  <si>
    <t>https://www.youtube.com/watch?v=4tbQwbpiyDw</t>
  </si>
  <si>
    <t>OTHYDZh4OUw</t>
  </si>
  <si>
    <t>Eradu Rekhegalu | à²Žà²°à²¡à³ à²°à³‡à²–à³†à²—à²³à³ | Kannada Full Movie | FEAT. Srinath, Saritha, Geetha, K S Ashwath</t>
  </si>
  <si>
    <t>SRS Media Vision | Kannada Full Movies</t>
  </si>
  <si>
    <t>https://www.youtube.com/watch?v=OTHYDZh4OUw</t>
  </si>
  <si>
    <t>_T75U9Pp9oU</t>
  </si>
  <si>
    <t>Prema Khaidi Telugu Full Movie | Vidharth, Amala Paul | Sri Balaji Video</t>
  </si>
  <si>
    <t>SriBalajiMovies</t>
  </si>
  <si>
    <t>https://www.youtube.com/watch?v=_T75U9Pp9oU</t>
  </si>
  <si>
    <t>MNEuIWbYOWs</t>
  </si>
  <si>
    <t>Nunca mÃ¡s (2015) Nevermore - Horror Short Film</t>
  </si>
  <si>
    <t>Vida Propia</t>
  </si>
  <si>
    <t>https://www.youtube.com/watch?v=MNEuIWbYOWs</t>
  </si>
  <si>
    <t>DLZ3u-gQJeA</t>
  </si>
  <si>
    <t>Nepali Hit Short Movie COTTAGE | à¤›à¥‹à¤Ÿà¥‹ à¤šà¤²à¤šà¤¿à¤¤à¥à¤° à¤•à¤Ÿà¥‡à¤œ | 2017 Hit Short Movie</t>
  </si>
  <si>
    <t>BIPS MEDIA PVT. LTD.</t>
  </si>
  <si>
    <t>https://www.youtube.com/watch?v=DLZ3u-gQJeA</t>
  </si>
  <si>
    <t>Gsdx2pomjEk</t>
  </si>
  <si>
    <t>Dulhan bhaag gai ðŸ˜‚ðŸ¤£ #shorts #ytshorts #couplegoals #khwahishgal</t>
  </si>
  <si>
    <t>Khwahish Gal</t>
  </si>
  <si>
    <t>https://www.youtube.com/shorts/Gsdx2pomjEk</t>
  </si>
  <si>
    <t>IeSbSGWJxEQ</t>
  </si>
  <si>
    <t>Lakshmi | Full Movie | Nagesh Kukunoor, Monali Thakur, Satish Kaushik</t>
  </si>
  <si>
    <t>Pen Movies</t>
  </si>
  <si>
    <t>https://www.youtube.com/watch?v=IeSbSGWJxEQ</t>
  </si>
  <si>
    <t>dq0HurUtR98</t>
  </si>
  <si>
    <t>Mr. Jholay | Nepali Movie | Dayahang Rai | Deeya Pun | Ram Babu Gurung | Buddhi Tamang | Bijay Baral</t>
  </si>
  <si>
    <t>HiTechEntertainment</t>
  </si>
  <si>
    <t>https://www.youtube.com/watch?v=dq0HurUtR98</t>
  </si>
  <si>
    <t>LXXkiUKDK4w</t>
  </si>
  <si>
    <t>Entertainment | Full Movie | Akshay Kumar, Tamannaah Bhatia, Johnny Lever</t>
  </si>
  <si>
    <t>https://www.youtube.com/watch?v=LXXkiUKDK4w</t>
  </si>
  <si>
    <t>YbQVrJXfuJM</t>
  </si>
  <si>
    <t>BLUE BIRD | caÅ‚y film | PL | short love movie</t>
  </si>
  <si>
    <t>WARSAW FILM SCHOOL</t>
  </si>
  <si>
    <t>https://www.youtube.com/watch?v=YbQVrJXfuJM</t>
  </si>
  <si>
    <t>2m4qkFv517E</t>
  </si>
  <si>
    <t>CUTE &amp; FUNNY â¤ï¸ NEW Anna Kova Good #shorts TikTok Compilation!</t>
  </si>
  <si>
    <t>ANYA KOVA</t>
  </si>
  <si>
    <t>https://www.youtube.com/watch?v=2m4qkFv517E</t>
  </si>
  <si>
    <t>yKV8veTETRA</t>
  </si>
  <si>
    <t>GUESS THE BOYS AGES, WIN $100 #shorts</t>
  </si>
  <si>
    <t>Jordan Matter</t>
  </si>
  <si>
    <t>https://www.youtube.com/shorts/yKV8veTETRA</t>
  </si>
  <si>
    <t>cOc5SQ2zsew</t>
  </si>
  <si>
    <t>HAYATAKU/ã¯ã‚„ãŸã Funny Shorts Videos-Hayataku Shorts Best Compilation Final</t>
  </si>
  <si>
    <t>https://www.youtube.com/watch?v=cOc5SQ2zsew</t>
  </si>
  <si>
    <t>GsHNiuEVroM</t>
  </si>
  <si>
    <t>The Last OneðŸ’€ðŸ˜­ #funny #satisfying #shorts</t>
  </si>
  <si>
    <t>Papawskidibip</t>
  </si>
  <si>
    <t>https://www.youtube.com/shorts/GsHNiuEVroM</t>
  </si>
  <si>
    <t>nJbrf2J0C_o</t>
  </si>
  <si>
    <t>How to Upload YouTube Shorts Like a PRO in 2026 | YouTube Shorts Viral Trick</t>
  </si>
  <si>
    <t>DecodingYT</t>
  </si>
  <si>
    <t>https://www.youtube.com/watch?v=nJbrf2J0C_o</t>
  </si>
  <si>
    <t>Cl9IwjcLSuU</t>
  </si>
  <si>
    <t>Rich but sad #money #shorts</t>
  </si>
  <si>
    <t xml:space="preserve">Courtney &amp; Alex </t>
  </si>
  <si>
    <t>https://www.youtube.com/shorts/Cl9IwjcLSuU</t>
  </si>
  <si>
    <t>sKDfvucB1e0</t>
  </si>
  <si>
    <t>Super Spicy Fried Ramen ðŸ¥µðŸ˜‹ from @BayashiTV_ #shorts</t>
  </si>
  <si>
    <t>Julee Cook</t>
  </si>
  <si>
    <t>https://www.youtube.com/shorts/sKDfvucB1e0</t>
  </si>
  <si>
    <t>gm8quBly1Rc</t>
  </si>
  <si>
    <t>She canâ€™t waste food ðŸ˜” #shorts #couple #comedy</t>
  </si>
  <si>
    <t>NickandCarrie</t>
  </si>
  <si>
    <t>https://www.youtube.com/shorts/gm8quBly1Rc</t>
  </si>
  <si>
    <t>18Gw6d2Ezcc</t>
  </si>
  <si>
    <t>https://www.youtube.com/shorts/18Gw6d2Ezcc</t>
  </si>
  <si>
    <t>TIvw7rWIig8</t>
  </si>
  <si>
    <t>Trying To Recreate All The Viral Stickers #couple #shorts #trending</t>
  </si>
  <si>
    <t>https://www.youtube.com/shorts/TIvw7rWIig8</t>
  </si>
  <si>
    <t>iqusUP-7rnQ</t>
  </si>
  <si>
    <t>These kids are RIPPED ðŸ˜³ (via _kingwild/IG) #shorts</t>
  </si>
  <si>
    <t>House of Highlights</t>
  </si>
  <si>
    <t>https://www.youtube.com/shorts/iqusUP-7rnQ</t>
  </si>
  <si>
    <t>tKS5qqRkn2U</t>
  </si>
  <si>
    <t>Eating Emoticons In OrderðŸ˜µðŸ¦ŸðŸ‘¨â€ðŸŽ¨ #shorts #seungbini</t>
  </si>
  <si>
    <t>https://www.youtube.com/shorts/tKS5qqRkn2U</t>
  </si>
  <si>
    <t>t4VQzJtIvAM</t>
  </si>
  <si>
    <t>Try this Creative videography ðŸ‘€ðŸ“± #shorts #videography #ideas</t>
  </si>
  <si>
    <t>Sabse Bada Maker</t>
  </si>
  <si>
    <t>https://www.youtube.com/shorts/t4VQzJtIvAM</t>
  </si>
  <si>
    <t>17CkxYh5rek</t>
  </si>
  <si>
    <t>HEATLESS CURL REVEALâ€¦ (gone wrong) #shorts</t>
  </si>
  <si>
    <t>Bailey Spinn</t>
  </si>
  <si>
    <t>https://www.youtube.com/shorts/17CkxYh5rek</t>
  </si>
  <si>
    <t>8xkJfLe1hFQ</t>
  </si>
  <si>
    <t>Nal and carpet creative bathing funny video #funny #magic #videography #shorts #creative #water</t>
  </si>
  <si>
    <t>Village Vlogs 795</t>
  </si>
  <si>
    <t>https://www.youtube.com/shorts/8xkJfLe1hFQ</t>
  </si>
  <si>
    <t>T37ZnIfXc1A</t>
  </si>
  <si>
    <t>Kid Saves Homeless Manâ€™s Life #Shorts</t>
  </si>
  <si>
    <t>https://www.youtube.com/shorts/T37ZnIfXc1A</t>
  </si>
  <si>
    <t>fwRQcXHtD8M</t>
  </si>
  <si>
    <t>THE WORLDS FIRST PAN PIZZA STUFFED CRUST?!?! #youtube #shorts #food #viralvideo #youtubeshorts #wow</t>
  </si>
  <si>
    <t>Doughtoli</t>
  </si>
  <si>
    <t>https://www.youtube.com/shorts/fwRQcXHtD8M</t>
  </si>
  <si>
    <t>233Z0WhDrak</t>
  </si>
  <si>
    <t>PIKMIN Short Movies - Occupational Hazards - Nintendo</t>
  </si>
  <si>
    <t>Nintendo of America</t>
  </si>
  <si>
    <t>https://www.youtube.com/watch?v=233Z0WhDrak</t>
  </si>
  <si>
    <t>JUFqPBRoPQM</t>
  </si>
  <si>
    <t>Nice movies ðŸ¤£ #shorts #viral #comedy</t>
  </si>
  <si>
    <t>SG Funny Family</t>
  </si>
  <si>
    <t>https://www.youtube.com/shorts/JUFqPBRoPQM</t>
  </si>
  <si>
    <t>g7WOcSyl0SE</t>
  </si>
  <si>
    <t>3 things in Japan that always shoked foreigners ! #shorts</t>
  </si>
  <si>
    <t>CATTYYI</t>
  </si>
  <si>
    <t>https://www.youtube.com/shorts/g7WOcSyl0SE</t>
  </si>
  <si>
    <t>AAKxXte03rE</t>
  </si>
  <si>
    <t>Rico's most viral videos. #shorts #viral</t>
  </si>
  <si>
    <t>https://www.youtube.com/watch?v=AAKxXte03rE</t>
  </si>
  <si>
    <t>hjI8FahtzA4</t>
  </si>
  <si>
    <t>When Kids Are TOO Quiet #shorts</t>
  </si>
  <si>
    <t>Shooteo</t>
  </si>
  <si>
    <t>https://www.youtube.com/shorts/hjI8FahtzA4</t>
  </si>
  <si>
    <t>OH5PzNuAX0Y</t>
  </si>
  <si>
    <t>THE BEST SHORTS !!! - COMPILATION</t>
  </si>
  <si>
    <t>https://www.youtube.com/watch?v=OH5PzNuAX0Y</t>
  </si>
  <si>
    <t>iD2HUD9FJu0</t>
  </si>
  <si>
    <t>Wait for the 4th oneðŸ˜­ #shorts</t>
  </si>
  <si>
    <t>https://www.youtube.com/shorts/iD2HUD9FJu0</t>
  </si>
  <si>
    <t>BsRS_aI2Tvs</t>
  </si>
  <si>
    <t>Wait for it ðŸ¤£ Funny challenge video #shorts #short</t>
  </si>
  <si>
    <t>Chattambees</t>
  </si>
  <si>
    <t>https://www.youtube.com/shorts/BsRS_aI2Tvs</t>
  </si>
  <si>
    <t>huQ6GM4W0z4</t>
  </si>
  <si>
    <t>Cat Ko Pasand Nahi Aya ðŸ˜³ðŸ˜œ #shorts #funny #uttarakhandifunnycouple</t>
  </si>
  <si>
    <t>Uttarakhandi Funny Couple</t>
  </si>
  <si>
    <t>https://www.youtube.com/shorts/huQ6GM4W0z4</t>
  </si>
  <si>
    <t>30rYSkvwbvA</t>
  </si>
  <si>
    <t>Por quÃ© serÃ¡n asÃ­? ðŸ˜©ðŸ¤£Familia ðŸ¤£ #shorts #humor #tiktokvideo #latina #comedia #funny #fyp</t>
  </si>
  <si>
    <t>Gabriela Flores Villar</t>
  </si>
  <si>
    <t>https://www.youtube.com/shorts/30rYSkvwbvA</t>
  </si>
  <si>
    <t>DEdHAWH33nk</t>
  </si>
  <si>
    <t>Wait for the end ðŸ˜‚ #shorts #funny #video #subscribe</t>
  </si>
  <si>
    <t>Tiki Hena Vlogs</t>
  </si>
  <si>
    <t>https://www.youtube.com/shorts/DEdHAWH33nk</t>
  </si>
  <si>
    <t>k8eH6RmdAQE</t>
  </si>
  <si>
    <t>girls on kanjak part 2 #shorts #viral #school life #sejal gaba #garg motivation# trending</t>
  </si>
  <si>
    <t>Garg Motivation</t>
  </si>
  <si>
    <t>https://www.youtube.com/shorts/k8eH6RmdAQE</t>
  </si>
  <si>
    <t>yNAqHHrPmhg</t>
  </si>
  <si>
    <t>Cute Baby Laughing #cutebaby #ai #shorts</t>
  </si>
  <si>
    <t>Hayat world</t>
  </si>
  <si>
    <t>https://www.youtube.com/shorts/yNAqHHrPmhg</t>
  </si>
  <si>
    <t>YYQtJsudPvk</t>
  </si>
  <si>
    <t>Cat's Candy Mishap! Rescue neededðŸ˜¿ðŸ¬Watch! ðŸ‘€ !#shorts #funny #cat #cute #animals #comedy</t>
  </si>
  <si>
    <t>Animal Bunch</t>
  </si>
  <si>
    <t>https://www.youtube.com/shorts/YYQtJsudPvk</t>
  </si>
  <si>
    <t>jtK6Mbi4Sxs</t>
  </si>
  <si>
    <t>That One Over Hygiene FriendðŸ˜Watch Till EndðŸ¤ª#sharmilageorge #shorts</t>
  </si>
  <si>
    <t>Sharmila George</t>
  </si>
  <si>
    <t>https://www.youtube.com/shorts/jtK6Mbi4Sxs</t>
  </si>
  <si>
    <t>yYvHXp6dep4</t>
  </si>
  <si>
    <t>Samayra ko kon si Pencil âœï¸ leni chahiye?ðŸ¤”ðŸ˜± #shorts #samayranarula #siblings</t>
  </si>
  <si>
    <t>Samayra Narula Official</t>
  </si>
  <si>
    <t>https://www.youtube.com/shorts/yYvHXp6dep4</t>
  </si>
  <si>
    <t>1JO9xsKwTw8</t>
  </si>
  <si>
    <t>I DESPISE math ðŸ˜­ðŸ˜­ #fypã‚· #shorts #justjules #relatable #skit #trend #food #viral</t>
  </si>
  <si>
    <t>JUSTJULESðŸ’–</t>
  </si>
  <si>
    <t>https://www.youtube.com/shorts/1JO9xsKwTw8</t>
  </si>
  <si>
    <t>wrKDsTJV5r8</t>
  </si>
  <si>
    <t>Gulabo Ka Shadi Wala Lehenga ðŸ˜‚ #shorts #comedy #sonasingh</t>
  </si>
  <si>
    <t>Sona Singh</t>
  </si>
  <si>
    <t>https://www.youtube.com/shorts/wrKDsTJV5r8</t>
  </si>
  <si>
    <t>26QLCJa3LHg</t>
  </si>
  <si>
    <t>ðŸ˜¯ - #theboys #rashmika #reaction #shorts</t>
  </si>
  <si>
    <t>ON CAMERA</t>
  </si>
  <si>
    <t>https://www.youtube.com/shorts/26QLCJa3LHg</t>
  </si>
  <si>
    <t>m74BhHoQ33s</t>
  </si>
  <si>
    <t>Amma How ðŸ¤” did this | #monikaprabhu | #shorts  | #trending | #funny | Monika Prabhu</t>
  </si>
  <si>
    <t>Monika Prabhu</t>
  </si>
  <si>
    <t>https://www.youtube.com/shorts/m74BhHoQ33s</t>
  </si>
  <si>
    <t>IPOOKI_Izic</t>
  </si>
  <si>
    <t>Last one is so true ðŸ˜­ðŸ¤ŒðŸ» #shorts</t>
  </si>
  <si>
    <t>Kratika Moyal</t>
  </si>
  <si>
    <t>https://www.youtube.com/shorts/IPOOKI_Izic</t>
  </si>
  <si>
    <t>gc67m1qc4DE</t>
  </si>
  <si>
    <t>Tom ðŸ“Jerry (Rithvi&amp;Kavi)Real End TwistðŸ¤£ðŸŽˆ #shorts</t>
  </si>
  <si>
    <t>KL BRO Biju Rithvik</t>
  </si>
  <si>
    <t>https://www.youtube.com/shorts/gc67m1qc4DE</t>
  </si>
  <si>
    <t>dm50uGo-3Gw</t>
  </si>
  <si>
    <t>That sweet invigilator #comedy #shorts #malayalam</t>
  </si>
  <si>
    <t>Mallu Techy Girl</t>
  </si>
  <si>
    <t>https://www.youtube.com/shorts/dm50uGo-3Gw</t>
  </si>
  <si>
    <t>M3DUQG0GTiw</t>
  </si>
  <si>
    <t>Khadus Mummy vs Golu ðŸ˜‚ Isko Toh Nikal Gayi New Shorts Video #shorts #comedy #aslimonaofficial</t>
  </si>
  <si>
    <t>Asli Mona Official</t>
  </si>
  <si>
    <t>https://www.youtube.com/shorts/M3DUQG0GTiw</t>
  </si>
  <si>
    <t>vfSzpwSAQ6M</t>
  </si>
  <si>
    <t>MY DAUGHTER KNOWS HER ABC'S BACKWARDS!!! ðŸ¤¯ #shorts #abc #daughter #fatherdaughter</t>
  </si>
  <si>
    <t>The CAN Family</t>
  </si>
  <si>
    <t>https://www.youtube.com/shorts/vfSzpwSAQ6M</t>
  </si>
  <si>
    <t>xTBaDiq0aFI</t>
  </si>
  <si>
    <t>Salish Cooked Them.. #shorts</t>
  </si>
  <si>
    <t>Nalish</t>
  </si>
  <si>
    <t>https://www.youtube.com/shorts/xTBaDiq0aFI</t>
  </si>
  <si>
    <t>qNnqOPEF3nc</t>
  </si>
  <si>
    <t>Yeh sirf joke he #Shorts #funny #comedy #lpg</t>
  </si>
  <si>
    <t>LittleGlove</t>
  </si>
  <si>
    <t>https://www.youtube.com/shorts/qNnqOPEF3nc</t>
  </si>
  <si>
    <t>EDxcyJR-8Ss</t>
  </si>
  <si>
    <t>Oh no ðŸ˜© All my nails fell off ðŸ˜­ #shorts #newnails #nailsart #pressonnails</t>
  </si>
  <si>
    <t xml:space="preserve">Raspberry and Me </t>
  </si>
  <si>
    <t>https://www.youtube.com/shorts/EDxcyJR-8Ss</t>
  </si>
  <si>
    <t>ynnXxOyfMIA</t>
  </si>
  <si>
    <t>Fast Food: The True Impact on Your Cholesterol &amp; Heart #short #shorts #youtuber #fitness</t>
  </si>
  <si>
    <t>Carlos Reig</t>
  </si>
  <si>
    <t>https://www.youtube.com/shorts/ynnXxOyfMIA</t>
  </si>
  <si>
    <t>eqpo4ackhgo</t>
  </si>
  <si>
    <t>WHO'S OLDER? ft/ Will Smith #shorts</t>
  </si>
  <si>
    <t>https://www.youtube.com/shorts/eqpo4ackhgo</t>
  </si>
  <si>
    <t>qj_fqQDlboQ</t>
  </si>
  <si>
    <t>#funny #school #relatable #shorts #short</t>
  </si>
  <si>
    <t>https://www.youtube.com/shorts/qj_fqQDlboQ</t>
  </si>
  <si>
    <t>GnYFmCAEvHA</t>
  </si>
  <si>
    <t>No math for mom ðŸ˜­ #shorts #momlife #humor</t>
  </si>
  <si>
    <t>Lottie Weaver</t>
  </si>
  <si>
    <t>https://www.youtube.com/shorts/GnYFmCAEvHA</t>
  </si>
  <si>
    <t>B7L74FnmYjM</t>
  </si>
  <si>
    <t>This Burger Has Fried Cheese On It?! ðŸ” #shorts</t>
  </si>
  <si>
    <t>Eat Good Local</t>
  </si>
  <si>
    <t>https://www.youtube.com/shorts/B7L74FnmYjM</t>
  </si>
  <si>
    <t>pEJFVhRGZHM</t>
  </si>
  <si>
    <t>ðŸ˜ŽOctober Month SupremacyðŸ”¥ Holiday AtrocitiesðŸ˜… #shorts || Ammu Times</t>
  </si>
  <si>
    <t>AMMU TIMES</t>
  </si>
  <si>
    <t>https://www.youtube.com/shorts/pEJFVhRGZHM</t>
  </si>
  <si>
    <t>venQRy67ZWE</t>
  </si>
  <si>
    <t>IndiansðŸ‡®ðŸ‡³ VS Cylinderâ›½ï¸This DaysðŸ˜¬ #shorts #comedy #funny #olidavines</t>
  </si>
  <si>
    <t>OLIDA  Vlogs and Vines</t>
  </si>
  <si>
    <t>https://www.youtube.com/shorts/venQRy67ZWE</t>
  </si>
  <si>
    <t>cPTU8ZOhSLU</t>
  </si>
  <si>
    <t>miniature iPhone 17pro #shorts</t>
  </si>
  <si>
    <t>Mini Box Shorts</t>
  </si>
  <si>
    <t>https://www.youtube.com/shorts/cPTU8ZOhSLU</t>
  </si>
  <si>
    <t>sz5pMa7brik</t>
  </si>
  <si>
    <t>Iâ€™m SUPER FLEXIBLE.. ðŸ˜…ðŸ’€ #dance #shorts #challenge</t>
  </si>
  <si>
    <t>Mariah and Bill</t>
  </si>
  <si>
    <t>https://www.youtube.com/shorts/sz5pMa7brik</t>
  </si>
  <si>
    <t>nRUfoQN9fFo</t>
  </si>
  <si>
    <t>Unpacking â¤ï¸â€ðŸ”¥ #shorts #short #bonamur</t>
  </si>
  <si>
    <t>https://www.youtube.com/shorts/nRUfoQN9fFo</t>
  </si>
  <si>
    <t>reNrkOgGywI</t>
  </si>
  <si>
    <t>How to Sneak Food ðŸ«ðŸ˜‚ #shorts</t>
  </si>
  <si>
    <t>Mr DegrEE</t>
  </si>
  <si>
    <t>https://www.youtube.com/shorts/reNrkOgGywI</t>
  </si>
  <si>
    <t>hxfMJi11E_0</t>
  </si>
  <si>
    <t>Which Candy Colors is The Best? ðŸ¤”</t>
  </si>
  <si>
    <t>https://www.youtube.com/shorts/hxfMJi11E_0</t>
  </si>
  <si>
    <t>SnJhpkkH_o8</t>
  </si>
  <si>
    <t>https://www.youtube.com/shorts/SnJhpkkH_o8</t>
  </si>
  <si>
    <t>WRrr2hd42H0</t>
  </si>
  <si>
    <t>RelatableðŸ˜‚ðŸ’¯ #funny #shorts #comedy #video #youtubeshorts</t>
  </si>
  <si>
    <t>Ubed Sk</t>
  </si>
  <si>
    <t>https://www.youtube.com/shorts/WRrr2hd42H0</t>
  </si>
  <si>
    <t>aaJ5i0unvD0</t>
  </si>
  <si>
    <t>unexpected duos â¤ï¸@yoangelolo @JennyHoyos #shorts #tiktok #couple</t>
  </si>
  <si>
    <t>https://www.youtube.com/shorts/aaJ5i0unvD0</t>
  </si>
  <si>
    <t>6jBRa1oJH1Y</t>
  </si>
  <si>
    <t>hit the sea lion ðŸ¦­ #shorts #skyyjade</t>
  </si>
  <si>
    <t>skyyjade</t>
  </si>
  <si>
    <t>https://www.youtube.com/shorts/6jBRa1oJH1Y</t>
  </si>
  <si>
    <t>T4XAXhI0TqE</t>
  </si>
  <si>
    <t>Older Brother Finesses Chocolate Bar #Shorts</t>
  </si>
  <si>
    <t>https://www.youtube.com/shorts/T4XAXhI0TqE</t>
  </si>
  <si>
    <t>XSB3v0MG1hE</t>
  </si>
  <si>
    <t>SEC Shorts - After wild games, teams show up to claim their "L"</t>
  </si>
  <si>
    <t>https://www.youtube.com/watch?v=XSB3v0MG1hE</t>
  </si>
  <si>
    <t>AwDgJJcoYz4</t>
  </si>
  <si>
    <t>Tom ðŸ“ Jerry (Rithvi&amp;Kavi)Real End Twist ðŸ˜‚ðŸŽˆ #shorts</t>
  </si>
  <si>
    <t>https://www.youtube.com/shorts/AwDgJJcoYz4</t>
  </si>
  <si>
    <t>91xYL0QxlTE</t>
  </si>
  <si>
    <t>WHO REMEMBERS THIS STRANGER THINGS SCENE? ðŸ˜± #strangerthings #shorts #nishaandfam</t>
  </si>
  <si>
    <t>Nisha Noelle</t>
  </si>
  <si>
    <t>https://www.youtube.com/shorts/91xYL0QxlTE</t>
  </si>
  <si>
    <t>kp4hVWsflM4</t>
  </si>
  <si>
    <t>ðŸŒ·DIY tulip LAMP #diy #craft #shorts</t>
  </si>
  <si>
    <t>Crafty Akanksha</t>
  </si>
  <si>
    <t>https://www.youtube.com/shorts/kp4hVWsflM4</t>
  </si>
  <si>
    <t>jGiFiljkEcc</t>
  </si>
  <si>
    <t>World's *MOST* Viewed YouTube Shorts in 2024!</t>
  </si>
  <si>
    <t>https://www.youtube.com/watch?v=jGiFiljkEcc</t>
  </si>
  <si>
    <t>1QvyRbTe9YI</t>
  </si>
  <si>
    <t>Every nibbi on KARVA CHAUTH ðŸ¤£ðŸ¤ŒðŸ» #shorts</t>
  </si>
  <si>
    <t>https://www.youtube.com/shorts/1QvyRbTe9YI</t>
  </si>
  <si>
    <t>PNlkVafp9QY</t>
  </si>
  <si>
    <t>Mornings With my girlsðŸ©·ðŸ©· #hairstyle #morningroutine #grwm #hair #shorts</t>
  </si>
  <si>
    <t>https://www.youtube.com/shorts/PNlkVafp9QY</t>
  </si>
  <si>
    <t>EfgRmfhZa3k</t>
  </si>
  <si>
    <t>Poor Daughter &amp; Biased Parents EP. FULL ðŸ‘§ðŸ»ðŸ˜¢ #shorts</t>
  </si>
  <si>
    <t>Linh Nhi Shorts</t>
  </si>
  <si>
    <t>https://www.youtube.com/watch?v=EfgRmfhZa3k</t>
  </si>
  <si>
    <t>jD7uYpyMyBM</t>
  </si>
  <si>
    <t>Cringe Youtube Shorts Comments..ðŸ¥€ðŸ’”</t>
  </si>
  <si>
    <t>https://www.youtube.com/watch?v=jD7uYpyMyBM</t>
  </si>
  <si>
    <t>W_dk7y3kiRI</t>
  </si>
  <si>
    <t>Make a Mini Crunchwrap Supreme ðŸ”” #miniverse #makeitmini #miniverseremix #miniature #shorts</t>
  </si>
  <si>
    <t>dee_forever_minis</t>
  </si>
  <si>
    <t>https://www.youtube.com/watch?v=W_dk7y3kiRI</t>
  </si>
  <si>
    <t>578NWoFc4jE</t>
  </si>
  <si>
    <t>SEC Shorts - A quiet night in the college football ER gets crazy</t>
  </si>
  <si>
    <t>https://www.youtube.com/watch?v=578NWoFc4jE</t>
  </si>
  <si>
    <t>bzKW3aTQfeo</t>
  </si>
  <si>
    <t>ALL THE EMPTY ROOMS Accepts the Oscar for Documentary Short Film</t>
  </si>
  <si>
    <t>ABC</t>
  </si>
  <si>
    <t>https://www.youtube.com/watch?v=bzKW3aTQfeo</t>
  </si>
  <si>
    <t>UHIIqOGvDR4</t>
  </si>
  <si>
    <t>Ultimate Funny Cartoon Compilation 1. (Agbaps Shorts)</t>
  </si>
  <si>
    <t>Agbaps Shorts</t>
  </si>
  <si>
    <t>https://www.youtube.com/watch?v=UHIIqOGvDR4</t>
  </si>
  <si>
    <t>zHuworJ6OTA</t>
  </si>
  <si>
    <t>Watch ðŸ‘† 'Biriyaani' Movie Scenes! #biriyaani #kanikusruti  #anilnedumangad  #bobfelix #shorts</t>
  </si>
  <si>
    <t>API Malayalam Movies</t>
  </si>
  <si>
    <t>https://www.youtube.com/watch?v=zHuworJ6OTA</t>
  </si>
  <si>
    <t>oOlcz1EDC1Q</t>
  </si>
  <si>
    <t>LiDiRo reagiert auf Shorts #497 #lidiro #shorts</t>
  </si>
  <si>
    <t>https://www.youtube.com/watch?v=oOlcz1EDC1Q</t>
  </si>
  <si>
    <t>ROcU-KCbudM</t>
  </si>
  <si>
    <t>à¨•à¨¿à¨°à¨¾à¨à¨¦à¨¾à¨° à¥¤Punjabi short movie à¥¤Punjabi short film à¥¤Punjabi short video à¥¤Punjabi natakà¥¤Punjabi à¨®à©‚à¨µà©€</t>
  </si>
  <si>
    <t xml:space="preserve">Punjab Movie </t>
  </si>
  <si>
    <t>https://www.youtube.com/watch?v=ROcU-KCbudM</t>
  </si>
  <si>
    <t>5c4uv3WbZzo</t>
  </si>
  <si>
    <t>How To Actually Make Viral Shorts</t>
  </si>
  <si>
    <t>Luc Boulch</t>
  </si>
  <si>
    <t>https://www.youtube.com/watch?v=5c4uv3WbZzo</t>
  </si>
  <si>
    <t>78Ug8Wc3iLg</t>
  </si>
  <si>
    <t>The MOST Viral YouTube Short video Creation | NO After Effects!</t>
  </si>
  <si>
    <t>Grow With Kaz</t>
  </si>
  <si>
    <t>https://www.youtube.com/watch?v=78Ug8Wc3iLg</t>
  </si>
  <si>
    <t>ypzr5CGS29Q</t>
  </si>
  <si>
    <t>I Uploaded Just 7 Shorts &amp; Got Monetized! Hereâ€™s EXACTLY How I Did It</t>
  </si>
  <si>
    <t>CuroTeck</t>
  </si>
  <si>
    <t>https://www.youtube.com/watch?v=ypzr5CGS29Q</t>
  </si>
  <si>
    <t>WIp38ahNIrU</t>
  </si>
  <si>
    <t>ðŸ˜± BEST FUNNY VIDEOS, MATIFAMILY @babyluke_ #matifamily #funny #babymatifa #shorts #compilation</t>
  </si>
  <si>
    <t>https://www.youtube.com/watch?v=WIp38ahNIrU</t>
  </si>
  <si>
    <t>9bnCqdzOJHc</t>
  </si>
  <si>
    <t>Watching Funny YouTube Shorts 6</t>
  </si>
  <si>
    <t>https://www.youtube.com/watch?v=9bnCqdzOJHc</t>
  </si>
  <si>
    <t>1r-D49QgbNM</t>
  </si>
  <si>
    <t>New beauty hacks for beautiful cheeks ðŸ˜±#makeuphacks #youtubeshorts #shorts</t>
  </si>
  <si>
    <t>Goodblush</t>
  </si>
  <si>
    <t>https://www.youtube.com/shorts/1r-D49QgbNM</t>
  </si>
  <si>
    <t>Fitur keren motor gede khusus buat cewek yakult #shorts</t>
  </si>
  <si>
    <t>Mileya27</t>
  </si>
  <si>
    <t>https://www.youtube.com/watch?v=-gNC8katd2I</t>
  </si>
  <si>
    <t>zF_AH9YEkC8</t>
  </si>
  <si>
    <t>Our LOVE Journey in One Video! #shorts</t>
  </si>
  <si>
    <t>Team2Moms</t>
  </si>
  <si>
    <t>https://www.youtube.com/shorts/zF_AH9YEkC8</t>
  </si>
  <si>
    <t>E_D3ycWIsFY</t>
  </si>
  <si>
    <t>Thankfully, no surgery this time!! ðŸ”¥ðŸ”¥ #fypã‚· #shorts #justjules #relatable #trend #skit #viral</t>
  </si>
  <si>
    <t>https://www.youtube.com/shorts/E_D3ycWIsFY</t>
  </si>
  <si>
    <t>icRrbdkj3UU</t>
  </si>
  <si>
    <t>Tom ðŸ“Jerry(Rithvi&amp;Kavi)Real End TwistðŸ˜‚ðŸŽˆ #shorts</t>
  </si>
  <si>
    <t>https://www.youtube.com/shorts/icRrbdkj3UU</t>
  </si>
  <si>
    <t>BCz2tp8AI0c</t>
  </si>
  <si>
    <t>ISSEI funny video ðŸ˜‚ðŸ˜‚ðŸ˜‚ Winter Sea #shorts</t>
  </si>
  <si>
    <t>ISSEI / ã„ã£ã›ã„</t>
  </si>
  <si>
    <t>https://www.youtube.com/shorts/BCz2tp8AI0c</t>
  </si>
  <si>
    <t>zd9I9fjCDZA</t>
  </si>
  <si>
    <t>Sach Main Sir Aa Gye ðŸ˜± #love #new #funny #shorts #shortvideo @fdccompany648</t>
  </si>
  <si>
    <t>Sanjay Rai</t>
  </si>
  <si>
    <t>https://www.youtube.com/shorts/zd9I9fjCDZA</t>
  </si>
  <si>
    <t>G2ZHlV0NeNE</t>
  </si>
  <si>
    <t>Sheela ka Chakravyuh ðŸ˜… | Kaamwali Bai | #shorts | Shorts Break</t>
  </si>
  <si>
    <t>Shorts Break</t>
  </si>
  <si>
    <t>https://www.youtube.com/shorts/G2ZHlV0NeNE</t>
  </si>
  <si>
    <t>lBqTE4toOFY</t>
  </si>
  <si>
    <t>Joe Rogan canâ€™t believe what this assistant said #shorts</t>
  </si>
  <si>
    <t>Crazy World Ideas</t>
  </si>
  <si>
    <t>https://www.youtube.com/shorts/lBqTE4toOFY</t>
  </si>
  <si>
    <t>5tT_5USKc-w</t>
  </si>
  <si>
    <t>Siblings are memories ðŸ¤§ #trending #fashion #shorts #siblings #explore</t>
  </si>
  <si>
    <t>Shan khan</t>
  </si>
  <si>
    <t>https://www.youtube.com/shorts/5tT_5USKc-w</t>
  </si>
  <si>
    <t>gtjUtfD98_Y</t>
  </si>
  <si>
    <t>KhatamðŸ«¡ #zidaanshahidaly #relatable #shorts</t>
  </si>
  <si>
    <t>Zidaan Shahid Aly</t>
  </si>
  <si>
    <t>https://www.youtube.com/shorts/gtjUtfD98_Y</t>
  </si>
  <si>
    <t>MWY1wApWPvc</t>
  </si>
  <si>
    <t>From Small To Really Giant Pop Corn #katebrush #funny #shorts</t>
  </si>
  <si>
    <t>Kate Brush</t>
  </si>
  <si>
    <t>https://www.youtube.com/shorts/MWY1wApWPvc</t>
  </si>
  <si>
    <t>X8ArznSAy8A</t>
  </si>
  <si>
    <t>https://www.youtube.com/shorts/X8ArznSAy8A</t>
  </si>
  <si>
    <t>aXC2EaXn_tk</t>
  </si>
  <si>
    <t>Yes maâ€™am !! #rjkarishma #shorts</t>
  </si>
  <si>
    <t>rjkarishma</t>
  </si>
  <si>
    <t>https://www.youtube.com/shorts/aXC2EaXn_tk</t>
  </si>
  <si>
    <t>bGTITYtu7VE</t>
  </si>
  <si>
    <t>GENIUS SECRETS I LEARNED ON YOUTUBE SHORTS!</t>
  </si>
  <si>
    <t>Foltyn Reacts Top Videos</t>
  </si>
  <si>
    <t>https://www.youtube.com/watch?v=bGTITYtu7VE</t>
  </si>
  <si>
    <t>yZlXmxIrRWM</t>
  </si>
  <si>
    <t>MY GIRLFRIEND TOOK ANOTHER BASKET HOME FROM TARGET #shorts</t>
  </si>
  <si>
    <t>TheJTCouple</t>
  </si>
  <si>
    <t>https://www.youtube.com/shorts/yZlXmxIrRWM</t>
  </si>
  <si>
    <t>16VKEJzVrbM</t>
  </si>
  <si>
    <t>Which is your favorite? #shortvideo #fashion #shorts #short</t>
  </si>
  <si>
    <t>https://www.youtube.com/shorts/16VKEJzVrbM</t>
  </si>
  <si>
    <t>2KZm0ldI2UM</t>
  </si>
  <si>
    <t>Shanu or ko mila surprise ðŸŽ #funny #comedy #youtubeshorts #trending #shorts #vlog</t>
  </si>
  <si>
    <t>https://www.youtube.com/watch?v=2KZm0ldI2UM</t>
  </si>
  <si>
    <t>g17MuQhBTDg</t>
  </si>
  <si>
    <t>How to Upload SHORTS Like a PRO!!ðŸ”¥| Make your Shorts VIRAL in just 4 HACKS!!</t>
  </si>
  <si>
    <t>Grow YT</t>
  </si>
  <si>
    <t>https://www.youtube.com/watch?v=g17MuQhBTDg</t>
  </si>
  <si>
    <t>8-tVlZE_dx4</t>
  </si>
  <si>
    <t>âœ¨Ultimate ASMRðŸ’ŽDiamond PaintingðŸ˜ #diamondpainting #satisfying #asmr #shorts #diy #art #craft #gift</t>
  </si>
  <si>
    <t>Kaki Mayhall</t>
  </si>
  <si>
    <t>https://www.youtube.com/shorts/8-tVlZE_dx4</t>
  </si>
  <si>
    <t>IlQahgS73lE</t>
  </si>
  <si>
    <t>Redcoat Musket reload #tf2 #sfm #shorts</t>
  </si>
  <si>
    <t>Daft Spunky</t>
  </si>
  <si>
    <t>https://www.youtube.com/shorts/IlQahgS73lE</t>
  </si>
  <si>
    <t>ajxSFHs7MKI</t>
  </si>
  <si>
    <t>Bicycle Diesal Hacks #shorts #ytshorts #bicyclediesal #diesalhacks #mtb</t>
  </si>
  <si>
    <t>THE CATALYST RIDER PANKAJ</t>
  </si>
  <si>
    <t>https://www.youtube.com/shorts/ajxSFHs7MKI</t>
  </si>
  <si>
    <t>D8pKaMNzCIE</t>
  </si>
  <si>
    <t>NewðŸ¤¯ automatic comb in the market #shorts</t>
  </si>
  <si>
    <t>Kamran Facts</t>
  </si>
  <si>
    <t>https://www.youtube.com/shorts/D8pKaMNzCIE</t>
  </si>
  <si>
    <t>LZ2Gaw2PZYw</t>
  </si>
  <si>
    <t>Rudra or mansi ki new top videoðŸ˜²â¤ï¸ #shortsâ€‹ #ytshortsâ€‹ #foryouâ€‹ #trendingâ€‹ #viralvideo</t>
  </si>
  <si>
    <t>Alam 321k</t>
  </si>
  <si>
    <t>https://www.youtube.com/watch?v=LZ2Gaw2PZYw</t>
  </si>
  <si>
    <t>tHsa_s6ndyo</t>
  </si>
  <si>
    <t>CHANEL X BIG BUY WITH THE PEN FILTER! ðŸ˜³ðŸ–Šï¸ #shorts #funny</t>
  </si>
  <si>
    <t>Cadel and Mia</t>
  </si>
  <si>
    <t>https://www.youtube.com/shorts/tHsa_s6ndyo</t>
  </si>
  <si>
    <t>0YYqcC-5k90</t>
  </si>
  <si>
    <t>Did she JUST CHEAT!? ðŸ¤” #challenge #funny #shorts</t>
  </si>
  <si>
    <t>Scarlett and Tiania</t>
  </si>
  <si>
    <t>https://www.youtube.com/shorts/0YYqcC-5k90</t>
  </si>
  <si>
    <t>p0NhtuNpCZE</t>
  </si>
  <si>
    <t>Pikachu ðŸ¤ªðŸ¤£ðŸ¥°ðŸ¤— #shorts #viralvideo #trending #funnyvideos</t>
  </si>
  <si>
    <t>https://www.youtube.com/shorts/p0NhtuNpCZE</t>
  </si>
  <si>
    <t>tuJ5WvlJn6o</t>
  </si>
  <si>
    <t>The Easiest Way to Make Viral Shorts (Find Clips + Edit)</t>
  </si>
  <si>
    <t>https://www.youtube.com/watch?v=tuJ5WvlJn6o</t>
  </si>
  <si>
    <t>vEc1G8Rv6uU</t>
  </si>
  <si>
    <t>The GARDENER LOL ðŸ¤£ðŸ˜­ðŸ™ #fypã‚· #shorts #justjules #skit #trend #relatable #vlogs #viral</t>
  </si>
  <si>
    <t>https://www.youtube.com/shorts/vEc1G8Rv6uU</t>
  </si>
  <si>
    <t>mjkc0xhwzVI</t>
  </si>
  <si>
    <t>Which one was YOUR fav sign?? ðŸ˜‚ðŸ˜­ #fypã‚· #shorts #justjules #funny #skit #shopping #viral</t>
  </si>
  <si>
    <t>https://www.youtube.com/shorts/mjkc0xhwzVI</t>
  </si>
  <si>
    <t>uUazoK7aNDw</t>
  </si>
  <si>
    <t>Rumi got attacked by dog! #shorts</t>
  </si>
  <si>
    <t>The Khios Family</t>
  </si>
  <si>
    <t>https://www.youtube.com/shorts/uUazoK7aNDw</t>
  </si>
  <si>
    <t>gQ3Bf-ySxXo</t>
  </si>
  <si>
    <t>Packing School Lunch *SHE IS IN TROUBLE* #shorts</t>
  </si>
  <si>
    <t>https://www.youtube.com/shorts/gQ3Bf-ySxXo</t>
  </si>
  <si>
    <t>p6kvyjqSFhg</t>
  </si>
  <si>
    <t>How did this happen ðŸ‘€ #jonathanjoly #shorts #cheerleader</t>
  </si>
  <si>
    <t>https://www.youtube.com/shorts/p6kvyjqSFhg</t>
  </si>
  <si>
    <t>a4Nly1USGps</t>
  </si>
  <si>
    <t>Part.01 My Dear Mama Ponnuâ¤ï¸ Love Short Series #shorts #mamaponnu #love #shortseries #reels</t>
  </si>
  <si>
    <t>OTTA KASU</t>
  </si>
  <si>
    <t>https://www.youtube.com/shorts/a4Nly1USGps</t>
  </si>
  <si>
    <t>5NLc2lVr520</t>
  </si>
  <si>
    <t>ðŸ¤£ðŸ˜„ à®Žà®©à¯à®©à®Ÿà®¾ twist - Offline Video call #tamil #shorts #trending @SonAndDadOfficial</t>
  </si>
  <si>
    <t>Son And Dad</t>
  </si>
  <si>
    <t>https://www.youtube.com/shorts/5NLc2lVr520</t>
  </si>
  <si>
    <t>Lzxsm_LUNZY</t>
  </si>
  <si>
    <t>Waitâ€”Did Sabrina Carpenter Just Say Sheâ€™s Pregnant On Stage?ðŸ˜± #sabrinacarpenter #shorts</t>
  </si>
  <si>
    <t>StarSpotlight</t>
  </si>
  <si>
    <t>https://www.youtube.com/shorts/Lzxsm_LUNZY</t>
  </si>
  <si>
    <t>RdFVhmulvew</t>
  </si>
  <si>
    <t>TikTokerâ€™s Love Triangle Explained #shorts #salishmatter #tiktoker</t>
  </si>
  <si>
    <t>PinkNews</t>
  </si>
  <si>
    <t>https://www.youtube.com/shorts/RdFVhmulvew</t>
  </si>
  <si>
    <t>QNSRurU9ON8</t>
  </si>
  <si>
    <t>Tom&amp;JerryðŸ¥°Funny moment ðŸ¥° #shorts #shortvideo</t>
  </si>
  <si>
    <t>Krishna Avyu</t>
  </si>
  <si>
    <t>https://www.youtube.com/shorts/QNSRurU9ON8</t>
  </si>
  <si>
    <t>ZMQDApczsU8</t>
  </si>
  <si>
    <t>Anaya Ne Apna Dimag Lagaya Hi Nahi ðŸ˜±ðŸ¤£ #shorts #comedy #trending #viral #shortvideo</t>
  </si>
  <si>
    <t>Hum 2 Hamare 2</t>
  </si>
  <si>
    <t>https://www.youtube.com/shorts/ZMQDApczsU8</t>
  </si>
  <si>
    <t>9OqFZISuCJc</t>
  </si>
  <si>
    <t>Exams season ðŸ“š||part 10|| #itsmanaswini | #comedy #funny | #shorts</t>
  </si>
  <si>
    <t>ItsManaswini</t>
  </si>
  <si>
    <t>https://www.youtube.com/shorts/9OqFZISuCJc</t>
  </si>
  <si>
    <t>6mYmWwb931w</t>
  </si>
  <si>
    <t>Big or Small challenge ðŸ˜‚ What did you like? ðŸ§ #shorts Best video by Hmelkofm</t>
  </si>
  <si>
    <t>Hmelkofm</t>
  </si>
  <si>
    <t>https://www.youtube.com/shorts/6mYmWwb931w</t>
  </si>
  <si>
    <t>hnPAt-H_z_Y</t>
  </si>
  <si>
    <t>Monkey Baby Bon Bon eats rainbow jelly with puppies and bathes with ducklings in the bathroom</t>
  </si>
  <si>
    <t>https://www.youtube.com/watch?v=hnPAt-H_z_Y</t>
  </si>
  <si>
    <t>3r3yxIwWtnI</t>
  </si>
  <si>
    <t>*DO NOT WATCH* THESE YOUTUBE SHORTS AT NIGHTðŸ˜±</t>
  </si>
  <si>
    <t>AndreoBee</t>
  </si>
  <si>
    <t>https://www.youtube.com/watch?v=3r3yxIwWtnI</t>
  </si>
  <si>
    <t>cH-CU2vVY58</t>
  </si>
  <si>
    <t>LiDiRo reagiert auf Shorts #492 #lidiro #shorts</t>
  </si>
  <si>
    <t>https://www.youtube.com/watch?v=cH-CU2vVY58</t>
  </si>
  <si>
    <t>6ITh2WhywBs</t>
  </si>
  <si>
    <t>Eric and Kaden Too Short for Big Slide at the Pumpkin Patch!</t>
  </si>
  <si>
    <t>Toys and Colors</t>
  </si>
  <si>
    <t>https://www.youtube.com/watch?v=6ITh2WhywBs</t>
  </si>
  <si>
    <t>KURfJBvc7hg</t>
  </si>
  <si>
    <t>14-20 YOSHDA QIZLARðŸ¤£ðŸ¤£| ZEBO RAHIMOVA VAYNLARIâš¡ï¸âš¡ï¸| INSTAGRAMDAGI TOP KULGULI VAYNLARðŸ”¥ðŸ”¥ðŸ”¥</t>
  </si>
  <si>
    <t>InstaTopVines</t>
  </si>
  <si>
    <t>https://www.youtube.com/watch?v=KURfJBvc7hg</t>
  </si>
  <si>
    <t>yMwCXr4XVIA</t>
  </si>
  <si>
    <t>Time ReverseðŸ¤­Watch till the endðŸ˜‚#sharmilageorge #shorts</t>
  </si>
  <si>
    <t>https://www.youtube.com/shorts/yMwCXr4XVIA</t>
  </si>
  <si>
    <t>eaVy8Jne0hs</t>
  </si>
  <si>
    <t>suraj ki comedy , suraj rox comedy funny video ,#trending #viral #shorts ðŸ™suraj bhai sorryâ¤ï¸</t>
  </si>
  <si>
    <t>Bholenath parvati Official</t>
  </si>
  <si>
    <t>https://www.youtube.com/watch?v=eaVy8Jne0hs</t>
  </si>
  <si>
    <t>u0ZElRz3qm8</t>
  </si>
  <si>
    <t>Why heâ€™s so Scared ðŸ˜‚ #shorts #prank #comedy</t>
  </si>
  <si>
    <t>https://www.youtube.com/shorts/u0ZElRz3qm8</t>
  </si>
  <si>
    <t>CF_lgu6ZpnA</t>
  </si>
  <si>
    <t>Advika ne Banaya Mummy Ka Pagal ðŸ˜‚ #shorts</t>
  </si>
  <si>
    <t>The Advika Sharma</t>
  </si>
  <si>
    <t>https://www.youtube.com/shorts/CF_lgu6ZpnA</t>
  </si>
  <si>
    <t>Ue3uQFA6mJY</t>
  </si>
  <si>
    <t>The traitor ðŸ˜­ #shorts by Tsuriki Show</t>
  </si>
  <si>
    <t>Tsuriki Show</t>
  </si>
  <si>
    <t>https://www.youtube.com/shorts/Ue3uQFA6mJY</t>
  </si>
  <si>
    <t>New OB53 Advance Server in Free FireðŸ˜± #freefire #freefiremax #shorts</t>
  </si>
  <si>
    <t>Prabhat Gamer</t>
  </si>
  <si>
    <t>https://www.youtube.com/shorts/-WO5ALWnOBo</t>
  </si>
  <si>
    <t>9TMLCyRyT2k</t>
  </si>
  <si>
    <t>#shorts - Bullet Bhaskar About Her Father #SudigaliSudheer #sridevidramacomapany #comedyshow</t>
  </si>
  <si>
    <t>etvteluguindia</t>
  </si>
  <si>
    <t>https://www.youtube.com/shorts/9TMLCyRyT2k</t>
  </si>
  <si>
    <t>gZCuYaTV0wc</t>
  </si>
  <si>
    <t>Thank you so much ðŸ¥º #fypã‚· #shorts #justjules #relatable #skit #trend #flowers #viral</t>
  </si>
  <si>
    <t>https://www.youtube.com/shorts/gZCuYaTV0wc</t>
  </si>
  <si>
    <t>JlyWnWUDn8Q</t>
  </si>
  <si>
    <t>Youâ€™re Pretty Weirdâ€¦ ðŸ˜¬ #Shorts #Comedy #Trending #fypã‚·</t>
  </si>
  <si>
    <t>Brat TV</t>
  </si>
  <si>
    <t>https://www.youtube.com/shorts/JlyWnWUDn8Q</t>
  </si>
  <si>
    <t>bOVx-P1SLnc</t>
  </si>
  <si>
    <t>Day 128 Challenge: Sonic Chooses Dancing or Homework? #SonicTheHedgehog #Sonic #Shorts</t>
  </si>
  <si>
    <t>OGG Toca Story</t>
  </si>
  <si>
    <t>https://www.youtube.com/shorts/bOVx-P1SLnc</t>
  </si>
  <si>
    <t>8DonKfi06uo</t>
  </si>
  <si>
    <t>Talking tom cat ðŸ±ðŸ§ #shorts #youtubeshorts #shortvideo #talkingtomcat #talkingcat #gaming #cartoon</t>
  </si>
  <si>
    <t>WONDERFULL CARTOON SS</t>
  </si>
  <si>
    <t>https://www.youtube.com/shorts/8DonKfi06uo</t>
  </si>
  <si>
    <t>icJ0mI6IBxA</t>
  </si>
  <si>
    <t>Tumhe kaise Ladke Pasnd H #shorts #vendyfam</t>
  </si>
  <si>
    <t>VENDY YADUWANSHI</t>
  </si>
  <si>
    <t>https://www.youtube.com/shorts/icJ0mI6IBxA</t>
  </si>
  <si>
    <t>KRr9eO_N8mU</t>
  </si>
  <si>
    <t>Can Bus Hide From Traffic In Gmod? #shorts</t>
  </si>
  <si>
    <t>GT Mod</t>
  </si>
  <si>
    <t>https://www.youtube.com/shorts/KRr9eO_N8mU</t>
  </si>
  <si>
    <t>LL_57u_zeKw</t>
  </si>
  <si>
    <t>I canâ€™t believe this happened today ðŸ™ŒðŸŽ‰ #jonathanjoly #shorts</t>
  </si>
  <si>
    <t>https://www.youtube.com/shorts/LL_57u_zeKw</t>
  </si>
  <si>
    <t>dP9kKCKgz0M</t>
  </si>
  <si>
    <t>YOUTUBE BALL â–¶ï¸âš¾ #shorts #youtubeshorts #cricket #unboxing #ball #funny</t>
  </si>
  <si>
    <t>Box Of Vengeance</t>
  </si>
  <si>
    <t>https://www.youtube.com/shorts/dP9kKCKgz0M</t>
  </si>
  <si>
    <t>F4gnM8tCpxk</t>
  </si>
  <si>
    <t>Acting Like My Gymnast Daughter In Homeschool!!!ðŸ˜‚ #shorts #relatable #funny #family</t>
  </si>
  <si>
    <t>https://www.youtube.com/shorts/F4gnM8tCpxk</t>
  </si>
  <si>
    <t>A1MBfhyOmz4</t>
  </si>
  <si>
    <t>Packing School Lunch *KOREAN CORN DOG* #shorts #HalloweenWithShorts</t>
  </si>
  <si>
    <t>https://www.youtube.com/shorts/A1MBfhyOmz4</t>
  </si>
  <si>
    <t>IQPxYAqODN4</t>
  </si>
  <si>
    <t>Why I Take So Long In The Shower #Shorts</t>
  </si>
  <si>
    <t>https://www.youtube.com/shorts/IQPxYAqODN4</t>
  </si>
  <si>
    <t>qgotTJljY3E</t>
  </si>
  <si>
    <t>Sorry Laletta ðŸ¥¹ðŸ˜…â¤ï¸ #shorts #pearlemaaney #jayasurya #aadu3</t>
  </si>
  <si>
    <t>Pearle Maaney</t>
  </si>
  <si>
    <t>https://www.youtube.com/shorts/qgotTJljY3E</t>
  </si>
  <si>
    <t>41Xe6Gc_kLw</t>
  </si>
  <si>
    <t>à¤®à¥‡à¤°à¥‡ à¤¸à¤¾à¤¥ à¤§à¥‹à¤–à¤¾ à¤•à¤° à¤¦à¥€ ðŸ¤ªðŸ˜‚ðŸ«£#viralvideo #viral #shorts #shortvideo #love #funny #comedy</t>
  </si>
  <si>
    <t>Naveen Nigam Hit</t>
  </si>
  <si>
    <t>https://www.youtube.com/shorts/41Xe6Gc_kLw</t>
  </si>
  <si>
    <t>lVot8WFZiBA</t>
  </si>
  <si>
    <t>That burn  #meme   #satire    #funny   #fyp #jokes     #shorts #fun  #momdaughter</t>
  </si>
  <si>
    <t>Kriss&amp;Esme</t>
  </si>
  <si>
    <t>https://www.youtube.com/shorts/lVot8WFZiBA</t>
  </si>
  <si>
    <t>-8X6bbscyJs</t>
  </si>
  <si>
    <t>When it's too late to realize he's stupidðŸ˜±ðŸ¤£ #shorts #funny</t>
  </si>
  <si>
    <t>CuRe êµ¬ëž˜</t>
  </si>
  <si>
    <t>https://www.youtube.com/shorts/-8X6bbscyJs</t>
  </si>
  <si>
    <t>WphOWBglJqo</t>
  </si>
  <si>
    <t>What is your favourite dessert? ðŸ°ðŸªðŸ¦ðŸ« #shorts</t>
  </si>
  <si>
    <t>Jasmin and James</t>
  </si>
  <si>
    <t>https://www.youtube.com/shorts/WphOWBglJqo</t>
  </si>
  <si>
    <t>2zFy-4UKj_g</t>
  </si>
  <si>
    <t>Drawing, But I can Only use GOLD (satisfying) #shorts</t>
  </si>
  <si>
    <t>Artcoaster</t>
  </si>
  <si>
    <t>https://www.youtube.com/shorts/2zFy-4UKj_g</t>
  </si>
  <si>
    <t>6Ir-LqWS5MY</t>
  </si>
  <si>
    <t>Sharing is caring #tiktok #tricks #hacks #carrotcake #drill #shorts #fyp #shorts #funny #silly</t>
  </si>
  <si>
    <t>Era of Sarah</t>
  </si>
  <si>
    <t>https://www.youtube.com/shorts/6Ir-LqWS5MY</t>
  </si>
  <si>
    <t>yoKP2WCbFEI</t>
  </si>
  <si>
    <t>"I just love Stitch" Lilo &amp; Stitch Edit #shorts #edit</t>
  </si>
  <si>
    <t>Rage Wolf Studios</t>
  </si>
  <si>
    <t>https://www.youtube.com/shorts/yoKP2WCbFEI</t>
  </si>
  <si>
    <t>uDLZplacMu8</t>
  </si>
  <si>
    <t>1 Hour Shorts Upload Challenge (Shocking Results ðŸ˜)</t>
  </si>
  <si>
    <t>RealGrow</t>
  </si>
  <si>
    <t>https://www.youtube.com/watch?v=uDLZplacMu8</t>
  </si>
  <si>
    <t>TIlazUM_dRY</t>
  </si>
  <si>
    <t>Dream of every Indian father ðŸ¥¹ðŸ’€ #shorts #shortvideo #funny #comedy #ytshorts #youtubeshorts #fyp</t>
  </si>
  <si>
    <t>Aaryan Kelvin</t>
  </si>
  <si>
    <t>https://www.youtube.com/shorts/TIlazUM_dRY</t>
  </si>
  <si>
    <t>UJocThDEsAQ</t>
  </si>
  <si>
    <t>Prince Harry Collapses In Tears Upon Receiving King Charlesâ€™s Final Statement #shorts #catherine</t>
  </si>
  <si>
    <t>Royal Magazine</t>
  </si>
  <si>
    <t>https://www.youtube.com/shorts/UJocThDEsAQ</t>
  </si>
  <si>
    <t>njYS-brDsoY</t>
  </si>
  <si>
    <t>Only chatpataðŸ˜Ž #comedy #foodie #spicyfood #funny #manishaswami #trending #shorts #girls #masala</t>
  </si>
  <si>
    <t>Manisha Swami</t>
  </si>
  <si>
    <t>https://www.youtube.com/shorts/njYS-brDsoY</t>
  </si>
  <si>
    <t>9T6PJLnJsec</t>
  </si>
  <si>
    <t>Funny video | Help the baby girl get away from the shrimp #shorts #funny</t>
  </si>
  <si>
    <t>BiBoBen Shorts</t>
  </si>
  <si>
    <t>https://www.youtube.com/shorts/9T6PJLnJsec</t>
  </si>
  <si>
    <t>2-gdFNvmh44</t>
  </si>
  <si>
    <t>Sunday special exchange ðŸ¤£ðŸ¤­#kunjattamalusworld #shortreels #shorts</t>
  </si>
  <si>
    <t>Kunjaatta Malu's World</t>
  </si>
  <si>
    <t>https://www.youtube.com/shorts/2-gdFNvmh44</t>
  </si>
  <si>
    <t>Y5e4omKsGzg</t>
  </si>
  <si>
    <t>Chintu &amp; exhibition ðŸ¤£ðŸ¤£ #shorts #trending</t>
  </si>
  <si>
    <t>Adarsh Solanki</t>
  </si>
  <si>
    <t>https://www.youtube.com/shorts/Y5e4omKsGzg</t>
  </si>
  <si>
    <t>cst9-4dKeQU</t>
  </si>
  <si>
    <t>10 year old me in bathroomðŸ˜…ðŸ˜‚|| #like #firstshortvideo #shorts #comedy #viralvideos #foryou</t>
  </si>
  <si>
    <t>Sonam Dhamija</t>
  </si>
  <si>
    <t>https://www.youtube.com/shorts/cst9-4dKeQU</t>
  </si>
  <si>
    <t>H9qrlolHDDM</t>
  </si>
  <si>
    <t>Jai Shree RamðŸ™ðŸ™ðŸ™ #shortvideo #shorts #trending #short #shortsfeed</t>
  </si>
  <si>
    <t>ALBUM CREATIONS</t>
  </si>
  <si>
    <t>https://www.youtube.com/shorts/H9qrlolHDDM</t>
  </si>
  <si>
    <t>7DPFp_T1vnI</t>
  </si>
  <si>
    <t>CON MI MAMÃ VS CON MI PAPÃ #shorts</t>
  </si>
  <si>
    <t>El TÃ­o NÃ©stor</t>
  </si>
  <si>
    <t>https://www.youtube.com/shorts/7DPFp_T1vnI</t>
  </si>
  <si>
    <t>VdOWW9365tg</t>
  </si>
  <si>
    <t>BLYTHE DOLLS ðŸ’™ ðŸ‘§ðŸ¿ OOTD GAME #shorts</t>
  </si>
  <si>
    <t xml:space="preserve">The Luci Show by LIVING WITH LUCI </t>
  </si>
  <si>
    <t>https://www.youtube.com/shorts/VdOWW9365tg</t>
  </si>
  <si>
    <t>tgXrrYVYXog</t>
  </si>
  <si>
    <t>THIS IS TOO FUNNYðŸ˜­ #skit #dumplings #funny #viral #shorts</t>
  </si>
  <si>
    <t>macysgrwm</t>
  </si>
  <si>
    <t>https://www.youtube.com/shorts/tgXrrYVYXog</t>
  </si>
  <si>
    <t>YrWVNErDUb8</t>
  </si>
  <si>
    <t>Ika Soundarya thapinchukoledhuðŸ˜… #youtube #telugu #shorts</t>
  </si>
  <si>
    <t>Bhanu Chandar</t>
  </si>
  <si>
    <t>https://www.youtube.com/shorts/YrWVNErDUb8</t>
  </si>
  <si>
    <t>63bcwCc4hfQ</t>
  </si>
  <si>
    <t>Wait for end ðŸ¤£ #shorts #comedyvideos #trending</t>
  </si>
  <si>
    <t>Shraddha Manthena</t>
  </si>
  <si>
    <t>https://www.youtube.com/shorts/63bcwCc4hfQ</t>
  </si>
  <si>
    <t>NwHBHRGrQLA</t>
  </si>
  <si>
    <t>Monkey makeup ðŸµðŸ’„#viralvideo #funny #shorts #makeup</t>
  </si>
  <si>
    <t>Fun Factory 07</t>
  </si>
  <si>
    <t>https://www.youtube.com/shorts/NwHBHRGrQLA</t>
  </si>
  <si>
    <t>TVghdXSkfos</t>
  </si>
  <si>
    <t>Watermelon, mangoes, muskmelon started in my garden #watermelon #mango #mygarden #farming #shorts</t>
  </si>
  <si>
    <t>mahi sowji gardening and vlogs</t>
  </si>
  <si>
    <t>https://www.youtube.com/shorts/TVghdXSkfos</t>
  </si>
  <si>
    <t>w21tq2SfrIU</t>
  </si>
  <si>
    <t>Pranitha à®šà¯‡à®Ÿà¯à®Ÿà¯ˆ ðŸ˜‚ 7 à®®à®£à®¿à®•à¯à®•à¯ à®¤à¯‚à®™à¯à®• try à®ªà®£à¯à®£à®¿à®©à®¾ à®¨à®Ÿà®¨à¯à®¤ scene! #shorts #tamil #comedy</t>
  </si>
  <si>
    <t>https://www.youtube.com/shorts/w21tq2SfrIU</t>
  </si>
  <si>
    <t>zwMEhBq4kYM</t>
  </si>
  <si>
    <t>Funny Watermelon Prank ðŸ¤£ #shorts #short #viralvideos #viralshort #funny #youtubeshorts #shortsfeed</t>
  </si>
  <si>
    <t>EBB Super Star</t>
  </si>
  <si>
    <t>https://www.youtube.com/shorts/zwMEhBq4kYM</t>
  </si>
  <si>
    <t>s5a2PR1f1Mw</t>
  </si>
  <si>
    <t>La bouteille MAGIQUE ðŸ™‚ðŸ’§ Jâ€™AI TESTÃ‰ POUR VOUS ! #shorts  #funny #relatable #wtf</t>
  </si>
  <si>
    <t>Ophenya</t>
  </si>
  <si>
    <t>https://www.youtube.com/shorts/s5a2PR1f1Mw</t>
  </si>
  <si>
    <t>kqQaME_vOsg</t>
  </si>
  <si>
    <t>Funny Monkey viral video..ðŸ¤£ðŸ¤£ðŸ¤£  #funny #comedy #trending #viral #shorts</t>
  </si>
  <si>
    <t>prettysiya1M</t>
  </si>
  <si>
    <t>https://www.youtube.com/shorts/kqQaME_vOsg</t>
  </si>
  <si>
    <t>3Pv4vxfmSzs</t>
  </si>
  <si>
    <t>Cute rabbit babyðŸ˜#shorts #rabbit #shortsvideo #short</t>
  </si>
  <si>
    <t>Crazy Vlog</t>
  </si>
  <si>
    <t>https://www.youtube.com/shorts/3Pv4vxfmSzs</t>
  </si>
  <si>
    <t>HsnK9XEFXTk</t>
  </si>
  <si>
    <t>DIY Bottle Art/Painting on Glass Bottle #youtubeshorts #shorts #bottleart #diy</t>
  </si>
  <si>
    <t>Artist_khushboo_</t>
  </si>
  <si>
    <t>https://www.youtube.com/shorts/HsnK9XEFXTk</t>
  </si>
  <si>
    <t>N5dtLpjYap0</t>
  </si>
  <si>
    <t>Raat Ke 12 Bje Wali CravingsðŸ¥µðŸ¤£ðŸ‘€ #shortsviral #shorts #minivlog #adayinmylife</t>
  </si>
  <si>
    <t>Shreya&amp;Shweta</t>
  </si>
  <si>
    <t>https://www.youtube.com/shorts/N5dtLpjYap0</t>
  </si>
  <si>
    <t>GntYrete0aw</t>
  </si>
  <si>
    <t>Butter chickenðŸ˜‹ #youtube #telugu #shorts #viralshorts #butterchicken</t>
  </si>
  <si>
    <t>Bunnyâ€™s World</t>
  </si>
  <si>
    <t>https://www.youtube.com/shorts/GntYrete0aw</t>
  </si>
  <si>
    <t>uLahZJB8hss</t>
  </si>
  <si>
    <t>it's a stupid dress? ðŸ˜±#trending #fashion #model #ripgigi #shorts</t>
  </si>
  <si>
    <t xml:space="preserve">MODELING </t>
  </si>
  <si>
    <t>https://www.youtube.com/shorts/uLahZJB8hss</t>
  </si>
  <si>
    <t>ZmZ5-GkQf9c</t>
  </si>
  <si>
    <t>Packing School Lunch *67 LUNCHBOX* #shorts</t>
  </si>
  <si>
    <t>https://www.youtube.com/shorts/ZmZ5-GkQf9c</t>
  </si>
  <si>
    <t>80B9fNDvtfs</t>
  </si>
  <si>
    <t>Daughter and son say they see shark then this happens #shorts</t>
  </si>
  <si>
    <t>The Trench Family</t>
  </si>
  <si>
    <t>https://www.youtube.com/shorts/80B9fNDvtfs</t>
  </si>
  <si>
    <t>1b94ID_Dw7c</t>
  </si>
  <si>
    <t>Sourdough Bread Toast #viralvideo #shortvideo #shorts #toast #easysnack #food #foodies #cookingvlog</t>
  </si>
  <si>
    <t>Poonam's Cookery</t>
  </si>
  <si>
    <t>https://www.youtube.com/shorts/1b94ID_Dw7c</t>
  </si>
  <si>
    <t>xzNS4wAuf3Q</t>
  </si>
  <si>
    <t>GIRL OR BOY?ðŸ¤°ðŸ»ðŸ˜ #youtubevideo #youtubeshorts #youtube #shortvideo #shorts #malayalam</t>
  </si>
  <si>
    <t>Kopico_couple_official</t>
  </si>
  <si>
    <t>https://www.youtube.com/shorts/xzNS4wAuf3Q</t>
  </si>
  <si>
    <t>eEBmHUmGwZM</t>
  </si>
  <si>
    <t>No BatidÃ£o Flipbook ðŸ¥¹ðŸ™ðŸ» | Artist Version ðŸ”¥ #shorts #flipbookart #nobatidao #flipbook #art #dance</t>
  </si>
  <si>
    <t>TAMAL ART &amp; CRAFT</t>
  </si>
  <si>
    <t>https://www.youtube.com/shorts/eEBmHUmGwZM</t>
  </si>
  <si>
    <t>PhVQWwjZn54</t>
  </si>
  <si>
    <t>She kissed me ðŸ™ˆ donâ€™t miss the end ðŸ«£ #trending #shorts #catchysmells #itmaaz #perfumer #kissme</t>
  </si>
  <si>
    <t>IT Maaz</t>
  </si>
  <si>
    <t>https://www.youtube.com/shorts/PhVQWwjZn54</t>
  </si>
  <si>
    <t>uuKr9KLwrOs</t>
  </si>
  <si>
    <t>Itna bara balloon #shorts #shortvideo #youtubeshorts #shaheerjutt</t>
  </si>
  <si>
    <t>shaheer jutt</t>
  </si>
  <si>
    <t>https://www.youtube.com/shorts/uuKr9KLwrOs</t>
  </si>
  <si>
    <t>WbDOByBXdbc</t>
  </si>
  <si>
    <t>SATISFYING CONTOUR BLENDING VIDEO!!! | Sydney Morgan #shorts</t>
  </si>
  <si>
    <t>Sydney Morgan</t>
  </si>
  <si>
    <t>https://www.youtube.com/shorts/WbDOByBXdbc</t>
  </si>
  <si>
    <t>QhHS_qLYzgw</t>
  </si>
  <si>
    <t>Zombie Boy Found a Family in Spiders After Parents Left Him #shorts</t>
  </si>
  <si>
    <t>Mobxd Craft Shorts</t>
  </si>
  <si>
    <t>https://www.youtube.com/shorts/QhHS_qLYzgw</t>
  </si>
  <si>
    <t>nXEMcea3kyo</t>
  </si>
  <si>
    <t>YOUTUBE BALL NAKLI HAI?âŒâ–¶ï¸âš¾ #shorts #youtubeshorts #cricket #unboxing #ball #funny</t>
  </si>
  <si>
    <t>https://www.youtube.com/shorts/nXEMcea3kyo</t>
  </si>
  <si>
    <t>0DgWZqI7hcM</t>
  </si>
  <si>
    <t>Maa bnne ke baad sab samjh aa gya.! #youtubeshorts #youtube #ytshorts #shorts #familyvlog</t>
  </si>
  <si>
    <t>Mona Sanwal</t>
  </si>
  <si>
    <t>https://www.youtube.com/shorts/0DgWZqI7hcM</t>
  </si>
  <si>
    <t>weaKjXMn9p8</t>
  </si>
  <si>
    <t>The clown has a lot of earwax#joker #shorts</t>
  </si>
  <si>
    <t>Untitled Joker</t>
  </si>
  <si>
    <t>https://www.youtube.com/shorts/weaKjXMn9p8</t>
  </si>
  <si>
    <t>SI68LFGFac4</t>
  </si>
  <si>
    <t>Bhalayi ka zamana nhi hai ðŸ˜‚#relatable #comedy #shorts #funny #shortvideos #shortsfeed</t>
  </si>
  <si>
    <t>Varsha &amp; Aditya</t>
  </si>
  <si>
    <t>https://www.youtube.com/shorts/SI68LFGFac4</t>
  </si>
  <si>
    <t>c4eMsD6XyF4</t>
  </si>
  <si>
    <t>Salish forgot her Left and Right! ðŸ˜‚ #shorts</t>
  </si>
  <si>
    <t>https://www.youtube.com/shorts/c4eMsD6XyF4</t>
  </si>
  <si>
    <t>iHhmfC8WxOw</t>
  </si>
  <si>
    <t>Mystery Saja's Real Face EXPOSED in K-Pop Demon Hunters  ðŸ˜± #shorts #kpopdemonhunters #kpop #viral</t>
  </si>
  <si>
    <t>Scene Wave</t>
  </si>
  <si>
    <t>https://www.youtube.com/shorts/iHhmfC8WxOw</t>
  </si>
  <si>
    <t>BbH6uEartwo</t>
  </si>
  <si>
    <t>the ART of being funny ðŸ‘€ ðŸ¤¯ #shorts #skyyjade</t>
  </si>
  <si>
    <t>https://www.youtube.com/shorts/BbH6uEartwo</t>
  </si>
  <si>
    <t>znqY5tmFNHs</t>
  </si>
  <si>
    <t>https://www.youtube.com/shorts/znqY5tmFNHs</t>
  </si>
  <si>
    <t>xNKTtY1Dysc</t>
  </si>
  <si>
    <t>They told her what she COULDNT WEAR?! ðŸ˜­ðŸ’” #shorts #momlife #family #cute</t>
  </si>
  <si>
    <t>Jacqueline Woodwell</t>
  </si>
  <si>
    <t>https://www.youtube.com/shorts/xNKTtY1Dysc</t>
  </si>
  <si>
    <t>7BgEiiFxejM</t>
  </si>
  <si>
    <t>THE JOKE ABOUT EATING LEMONS WITH WASABI ðŸ˜¢ #funny #shorts</t>
  </si>
  <si>
    <t>Toby</t>
  </si>
  <si>
    <t>https://www.youtube.com/shorts/7BgEiiFxejM</t>
  </si>
  <si>
    <t>Dl5SX2dzBmU</t>
  </si>
  <si>
    <t>wonderful pick me up thank you very much #furry #fursuit #furries #shorts #fizzyfox #work</t>
  </si>
  <si>
    <t>carson</t>
  </si>
  <si>
    <t>https://www.youtube.com/shorts/Dl5SX2dzBmU</t>
  </si>
  <si>
    <t>rh_kT2Mbm3c</t>
  </si>
  <si>
    <t>Prank over Cartoon Cat #shorts</t>
  </si>
  <si>
    <t>ACTION PAPA SHOW</t>
  </si>
  <si>
    <t>https://www.youtube.com/shorts/rh_kT2Mbm3c</t>
  </si>
  <si>
    <t>tQiuWOqgfQc</t>
  </si>
  <si>
    <t>One of my favorite videosðŸ¤£ #shorts #dlafam #londyn</t>
  </si>
  <si>
    <t>https://www.youtube.com/shorts/tQiuWOqgfQc</t>
  </si>
  <si>
    <t>9Ied1oT99qA</t>
  </si>
  <si>
    <t>The Ancient "Solar Probiotic" Tech of India? (Dahi mirch)â˜€ï¸ðŸ§« #shorts #historyfacts #foodhistory</t>
  </si>
  <si>
    <t>Prachin Pixel</t>
  </si>
  <si>
    <t>https://www.youtube.com/shorts/9Ied1oT99qA</t>
  </si>
  <si>
    <t>uRMw0Nd2dBk</t>
  </si>
  <si>
    <t>Chump and Clump | CGI short film by Stephan Sacher &amp; Michael Herm</t>
  </si>
  <si>
    <t>https://www.youtube.com/watch?v=uRMw0Nd2dBk</t>
  </si>
  <si>
    <t>lZ-G3ASbLAc</t>
  </si>
  <si>
    <t>I made KIRBY BOBA! #shorts</t>
  </si>
  <si>
    <t>feed meimei</t>
  </si>
  <si>
    <t>https://www.youtube.com/shorts/lZ-G3ASbLAc</t>
  </si>
  <si>
    <t>pDdhBOYlQLQ</t>
  </si>
  <si>
    <t>RATING ALL MY HAIR COLORSâ€¦ #shorts</t>
  </si>
  <si>
    <t>https://www.youtube.com/shorts/pDdhBOYlQLQ</t>
  </si>
  <si>
    <t>233q4jsJ_pM</t>
  </si>
  <si>
    <t>Funny video#shortvideo #shorts #shortvideo</t>
  </si>
  <si>
    <t>Magsi Shorts</t>
  </si>
  <si>
    <t>https://www.youtube.com/shorts/233q4jsJ_pM</t>
  </si>
  <si>
    <t>9TpwNYaRPAo</t>
  </si>
  <si>
    <t>ðŸŽ¥  JUST MARRIED (2003) | Full Movie Trailer in HD | 1080p</t>
  </si>
  <si>
    <t>MOVIE PREDICTOR</t>
  </si>
  <si>
    <t>https://www.youtube.com/watch?v=9TpwNYaRPAo</t>
  </si>
  <si>
    <t>XyCcAutpSJE</t>
  </si>
  <si>
    <t>Aggressive ASMR #shorts #asmrsleep</t>
  </si>
  <si>
    <t>Mildreamy ASMR</t>
  </si>
  <si>
    <t>https://www.youtube.com/shorts/XyCcAutpSJE</t>
  </si>
  <si>
    <t>YYES_87H5Yo</t>
  </si>
  <si>
    <t>Rubber Ducky Surprises Frog &amp; Puppy with Car Ride Chase</t>
  </si>
  <si>
    <t>Life of Sammie &amp; Summer</t>
  </si>
  <si>
    <t>https://www.youtube.com/watch?v=YYES_87H5Yo</t>
  </si>
  <si>
    <t>P7YZs1x0fjI</t>
  </si>
  <si>
    <t>duo is back @royaltyfam ðŸ’™#shorts #viral #tiktok</t>
  </si>
  <si>
    <t>https://www.youtube.com/shorts/P7YZs1x0fjI</t>
  </si>
  <si>
    <t>C08RLFUjmno</t>
  </si>
  <si>
    <t>Kumpulan video shorts kocak dan gokil @Ryncesryana part 100.</t>
  </si>
  <si>
    <t>https://www.youtube.com/watch?v=C08RLFUjmno</t>
  </si>
  <si>
    <t>1vXbsttBl68</t>
  </si>
  <si>
    <t>FOR THE LOVE OF MONEY  |  LATEST MOVIE | MR ALOY | #trendingshorts #trending #bts #comedy #film</t>
  </si>
  <si>
    <t>Mr  Aloy  Tv</t>
  </si>
  <si>
    <t>https://www.youtube.com/watch?v=1vXbsttBl68</t>
  </si>
  <si>
    <t>ldWBXTOkcEE</t>
  </si>
  <si>
    <t>Bro Thought He Was The Hero ðŸ’€ (Sad Matchsitck Meme)  #shorts</t>
  </si>
  <si>
    <t>Dude Dans</t>
  </si>
  <si>
    <t>https://www.youtube.com/shorts/ldWBXTOkcEE</t>
  </si>
  <si>
    <t>yB_2_YEs6Ls</t>
  </si>
  <si>
    <t>SHOP ATROCITIES  #shorts #trending #trendingshorts #comedy #new</t>
  </si>
  <si>
    <t>RAHUL YOUTUBER</t>
  </si>
  <si>
    <t>https://www.youtube.com/shorts/yB_2_YEs6Ls</t>
  </si>
  <si>
    <t>JUiG-KMY4d8</t>
  </si>
  <si>
    <t>First Love Of Every Girl ðŸ˜‚ #shorts #teratrigun #ytshorts</t>
  </si>
  <si>
    <t>Tera Trigun</t>
  </si>
  <si>
    <t>https://www.youtube.com/shorts/JUiG-KMY4d8</t>
  </si>
  <si>
    <t>ZCrplwJzPpA</t>
  </si>
  <si>
    <t>weee litttðŸ˜‚ #shorts #dance #fun</t>
  </si>
  <si>
    <t>Jasper Boyz</t>
  </si>
  <si>
    <t>https://www.youtube.com/shorts/ZCrplwJzPpA</t>
  </si>
  <si>
    <t>4FG2VTtmRc4</t>
  </si>
  <si>
    <t>Which one are you?? #shorts #hair #family</t>
  </si>
  <si>
    <t>https://www.youtube.com/shorts/4FG2VTtmRc4</t>
  </si>
  <si>
    <t>8y5wzDSfdls</t>
  </si>
  <si>
    <t>#Kritikachannel#Shorts funny video</t>
  </si>
  <si>
    <t>Kritika Channel</t>
  </si>
  <si>
    <t>https://www.youtube.com/shorts/8y5wzDSfdls</t>
  </si>
  <si>
    <t>B2ppQrDXaIQ</t>
  </si>
  <si>
    <t>Men tugâ€™ildimðŸ˜ #zeboraximova #shorts #short</t>
  </si>
  <si>
    <t>https://www.youtube.com/shorts/B2ppQrDXaIQ</t>
  </si>
  <si>
    <t>veOSBgNCUyU</t>
  </si>
  <si>
    <t>GÃ¶zde AkgÃ¼n | Sonu efsane ðŸ˜‚ |#gÃ¶zdeakgÃ¼n #shorts</t>
  </si>
  <si>
    <t>GÃ¶zde AkgÃ¼n</t>
  </si>
  <si>
    <t>https://www.youtube.com/shorts/veOSBgNCUyU</t>
  </si>
  <si>
    <t>lSrCcvMOCxc</t>
  </si>
  <si>
    <t>Half Term Be Likeâ€¦ #shorts #schoollife #school</t>
  </si>
  <si>
    <t>Stevie Knows</t>
  </si>
  <si>
    <t>https://www.youtube.com/shorts/lSrCcvMOCxc</t>
  </si>
  <si>
    <t>EOo8o8UeIrA</t>
  </si>
  <si>
    <t>Â¿HAS VISTO COMO HUELE? ðŸ¤£ #shorts #tobbaliink</t>
  </si>
  <si>
    <t>TOBBAL SHORTS</t>
  </si>
  <si>
    <t>https://www.youtube.com/shorts/EOo8o8UeIrA</t>
  </si>
  <si>
    <t>MZwUEcogDMI</t>
  </si>
  <si>
    <t>Na Prema Nekai : Latest Telugu Short Film 2014 : A Deekshith Chand Film</t>
  </si>
  <si>
    <t>Tollywood</t>
  </si>
  <si>
    <t>https://www.youtube.com/watch?v=MZwUEcogDMI</t>
  </si>
  <si>
    <t>D9prj9zFaR0</t>
  </si>
  <si>
    <t>amaira ke sath y kya ho gya ðŸ˜‚#amairagurjar #shorts</t>
  </si>
  <si>
    <t>Amaira gurjar vlogs</t>
  </si>
  <si>
    <t>https://www.youtube.com/shorts/D9prj9zFaR0</t>
  </si>
  <si>
    <t>5WVkh6xYmHc</t>
  </si>
  <si>
    <t>Macbook Neo First Impression || Don't Buy Windows Laptop ðŸ’»ðŸ˜ž #shorts</t>
  </si>
  <si>
    <t xml:space="preserve">Trakin With Waseeb </t>
  </si>
  <si>
    <t>https://www.youtube.com/watch?v=5WVkh6xYmHc</t>
  </si>
  <si>
    <t>wQ3irgtaqfA</t>
  </si>
  <si>
    <t>Crazy Jewellery Organizer Idea ðŸ˜± #shorts</t>
  </si>
  <si>
    <t>Paintellectual PriyA</t>
  </si>
  <si>
    <t>https://www.youtube.com/shorts/wQ3irgtaqfA</t>
  </si>
  <si>
    <t>SxVeNqU7eZ0</t>
  </si>
  <si>
    <t>Spiderman Brand New Day Trailer Is Insane ðŸ¤¯ #shorts</t>
  </si>
  <si>
    <t xml:space="preserve">The Abhay Dynasty </t>
  </si>
  <si>
    <t>https://www.youtube.com/shorts/SxVeNqU7eZ0</t>
  </si>
  <si>
    <t>Vdkarz3L0FI</t>
  </si>
  <si>
    <t>Reflek bjirrðŸ¤£ #mobilelegends #mlbb #mlmemes #mobilelegendsbangbang #shorts #fyp</t>
  </si>
  <si>
    <t>Flyreen.</t>
  </si>
  <si>
    <t>https://www.youtube.com/shorts/Vdkarz3L0FI</t>
  </si>
  <si>
    <t>1sPn6O_cbXw</t>
  </si>
  <si>
    <t>Como olvidar ðŸ’ƒðŸ»â˜ºï¸ TOKYO #shorts #humor #tiktokvideo #latina #comedia #funny  #fyp</t>
  </si>
  <si>
    <t>https://www.youtube.com/shorts/1sPn6O_cbXw</t>
  </si>
  <si>
    <t>KdP2X6hIyVo</t>
  </si>
  <si>
    <t>dhosa idly funny shorts ðŸ¤£ #youtubeshorts #funny #shorts</t>
  </si>
  <si>
    <t>https://www.youtube.com/shorts/KdP2X6hIyVo</t>
  </si>
  <si>
    <t>V6MrrpnNLlQ</t>
  </si>
  <si>
    <t>Rainbow Art in Black and White paper #art #painting #shorts</t>
  </si>
  <si>
    <t>Melli Art School</t>
  </si>
  <si>
    <t>https://www.youtube.com/shorts/V6MrrpnNLlQ</t>
  </si>
  <si>
    <t>nLCCkUjxsj4</t>
  </si>
  <si>
    <t>QUEM COMEU O MEU SORVETE? #shorts</t>
  </si>
  <si>
    <t>Enaldinho</t>
  </si>
  <si>
    <t>https://www.youtube.com/shorts/nLCCkUjxsj4</t>
  </si>
  <si>
    <t>SG3VuWk_MbE</t>
  </si>
  <si>
    <t>Must TRY on This EidðŸ˜ | Poses Ideas For Girls #shorts #eid #poseideas</t>
  </si>
  <si>
    <t>Aesthetic club</t>
  </si>
  <si>
    <t>https://www.youtube.com/shorts/SG3VuWk_MbE</t>
  </si>
  <si>
    <t>zebpeL-PJUg</t>
  </si>
  <si>
    <t>WORK SMARTER NOT HARDER #shorts</t>
  </si>
  <si>
    <t>Brotherofcolor</t>
  </si>
  <si>
    <t>https://www.youtube.com/shorts/zebpeL-PJUg</t>
  </si>
  <si>
    <t>JtnShgOLgHw</t>
  </si>
  <si>
    <t>"3 in 1 dosa trick unlocked." ðŸ˜²ðŸ¤©ðŸ¤¯ #relatable #trending #shorts</t>
  </si>
  <si>
    <t>Radhika Maroo</t>
  </si>
  <si>
    <t>https://www.youtube.com/shorts/JtnShgOLgHw</t>
  </si>
  <si>
    <t>Uy2fxUmBxzs</t>
  </si>
  <si>
    <t>BEST Song covers ever #shorts</t>
  </si>
  <si>
    <t>zeroth</t>
  </si>
  <si>
    <t>https://www.youtube.com/shorts/Uy2fxUmBxzs</t>
  </si>
  <si>
    <t>pApFFbxmc0Y</t>
  </si>
  <si>
    <t>Chogada ðŸ™â¤ï¸ #shorts #thebnbrothers #funny #viral #trending</t>
  </si>
  <si>
    <t>The BN Brothers</t>
  </si>
  <si>
    <t>https://www.youtube.com/shorts/pApFFbxmc0Y</t>
  </si>
  <si>
    <t>P5JkYHXbk4g</t>
  </si>
  <si>
    <t>à¸«à¹‰à¸²à¸¡à¹ƒà¸Šà¹‰à¸Šà¹‰à¸­à¸™à¸žà¸¥à¸²à¸ªà¸•à¸´à¸! à¸à¸´à¸™à¸‚à¹‰à¸²à¸§ #food #shorts</t>
  </si>
  <si>
    <t>BANKII</t>
  </si>
  <si>
    <t>https://www.youtube.com/shorts/P5JkYHXbk4g</t>
  </si>
  <si>
    <t>4j88FngpcNY</t>
  </si>
  <si>
    <t>this move is unfair ðŸ˜­ #shorts #skyyjade</t>
  </si>
  <si>
    <t>https://www.youtube.com/shorts/4j88FngpcNY</t>
  </si>
  <si>
    <t>KR9G56cet9Y</t>
  </si>
  <si>
    <t>Little gdwm ðŸ˜ƒ do yall want more?? #fypã‚· #shorts #justjules #relatable #skit #vlog #viral</t>
  </si>
  <si>
    <t>https://www.youtube.com/shorts/KR9G56cet9Y</t>
  </si>
  <si>
    <t>wLt8SSgMDEw</t>
  </si>
  <si>
    <t>Misti ne ye sab kaise kar rahi hai ðŸ¤—ðŸ˜ #shorts #viralvideo #trending</t>
  </si>
  <si>
    <t>https://www.youtube.com/shorts/wLt8SSgMDEw</t>
  </si>
  <si>
    <t>m6LeW-yW4Zs</t>
  </si>
  <si>
    <t>Sunny RockzðŸ˜ŽAkka ShockzðŸ˜³ #maithilisreetan #comedy #funny #shorts #ytshorts</t>
  </si>
  <si>
    <t>Maithili_Sreetan</t>
  </si>
  <si>
    <t>https://www.youtube.com/shorts/m6LeW-yW4Zs</t>
  </si>
  <si>
    <t>xE9b_QupKdo</t>
  </si>
  <si>
    <t>11 MiLLiON DOLLAR HOUSE TOUR ðŸ˜³ðŸ‘€ #shorts</t>
  </si>
  <si>
    <t>JUSTKASS</t>
  </si>
  <si>
    <t>https://www.youtube.com/shorts/xE9b_QupKdo</t>
  </si>
  <si>
    <t>7TmWhy3aj30</t>
  </si>
  <si>
    <t>TikTok hay - c122  #shorts #tiktok #xuhuong</t>
  </si>
  <si>
    <t>Love TikTok</t>
  </si>
  <si>
    <t>https://www.youtube.com/shorts/7TmWhy3aj30</t>
  </si>
  <si>
    <t>XE6MGPWXaeQ</t>
  </si>
  <si>
    <t>#youtube #shorts</t>
  </si>
  <si>
    <t>Emu Sabbir</t>
  </si>
  <si>
    <t>https://www.youtube.com/shorts/XE6MGPWXaeQ</t>
  </si>
  <si>
    <t>oH9-AC7KotE</t>
  </si>
  <si>
    <t>Singillar turi #blogger #food #shorts #love #family #short #shortsvideo #rels #instagtam #uzb</t>
  </si>
  <si>
    <t>https://www.youtube.com/shorts/oH9-AC7KotE</t>
  </si>
  <si>
    <t>tFPBoZnI6h4</t>
  </si>
  <si>
    <t>WE GOT THE GLITTER DUMPLINGðŸ¤© #shorts</t>
  </si>
  <si>
    <t>https://www.youtube.com/shorts/tFPBoZnI6h4</t>
  </si>
  <si>
    <t>O30b1BGQh4k</t>
  </si>
  <si>
    <t>Nadie lo entiendeðŸ§‹ðŸ¥² #bakabakamx #bakita #ASMR #asmrsounds #fyp #shortvideo #shorts #xyzabc</t>
  </si>
  <si>
    <t>BAKA BAKA MX</t>
  </si>
  <si>
    <t>https://www.youtube.com/shorts/O30b1BGQh4k</t>
  </si>
  <si>
    <t>lN78DhoIc0o</t>
  </si>
  <si>
    <t>Doesnâ€™t his brunch look great! #shorts #fyp #cooking #brunch #lunch #burrito #bacon #egg #easy</t>
  </si>
  <si>
    <t xml:space="preserve">Râ€¢Oâ€¢Sâ€¢Aâ€¢Lâ€¢Eâ€¢A </t>
  </si>
  <si>
    <t>https://www.youtube.com/shorts/lN78DhoIc0o</t>
  </si>
  <si>
    <t>Zifpc5Bg2Eg</t>
  </si>
  <si>
    <t>Alloo chips  WA - 7075579159 #shorts #homemade</t>
  </si>
  <si>
    <t>BB talks</t>
  </si>
  <si>
    <t>https://www.youtube.com/shorts/Zifpc5Bg2Eg</t>
  </si>
  <si>
    <t>622IaSjQZ68</t>
  </si>
  <si>
    <t>Comedy stories!ðŸ˜‚ Big remix #shorts</t>
  </si>
  <si>
    <t>radmiru</t>
  </si>
  <si>
    <t>https://www.youtube.com/shorts/622IaSjQZ68</t>
  </si>
  <si>
    <t>wnTCrg3DwqQ</t>
  </si>
  <si>
    <t>Smart Sensor 3D Night Lamp | Automatic Night Light for Bedroom #shorts #nightlamp #homedecor</t>
  </si>
  <si>
    <t>Budgetro Hub</t>
  </si>
  <si>
    <t>https://www.youtube.com/shorts/wnTCrg3DwqQ</t>
  </si>
  <si>
    <t>VxEKnJNlUKw</t>
  </si>
  <si>
    <t>I LOVE PICKLES!! ðŸ¥’ðŸ¥¹ #shorts #cute #trending</t>
  </si>
  <si>
    <t>https://www.youtube.com/shorts/VxEKnJNlUKw</t>
  </si>
  <si>
    <t>Z0oWa_ym364</t>
  </si>
  <si>
    <t>MY DAUGHTER IS A SAVAGE!!! #shorts #fatherdaughter #dad #daughter</t>
  </si>
  <si>
    <t>https://www.youtube.com/shorts/Z0oWa_ym364</t>
  </si>
  <si>
    <t>imgdpOw4zCk</t>
  </si>
  <si>
    <t>INCREDIBLE ball control from PHIL FODEN! ðŸ¥µðŸŒŸ #mancity #football #shorts #shortsvideo #goals #skills</t>
  </si>
  <si>
    <t>Man City</t>
  </si>
  <si>
    <t>https://www.youtube.com/shorts/imgdpOw4zCk</t>
  </si>
  <si>
    <t>QcJ2mCrFo8M</t>
  </si>
  <si>
    <t>Chogada â¤ï¸ðŸ™ #shorts #shortvideos #mrandmrskoranga #love</t>
  </si>
  <si>
    <t xml:space="preserve">Mr and Mrs Koranga </t>
  </si>
  <si>
    <t>https://www.youtube.com/shorts/QcJ2mCrFo8M</t>
  </si>
  <si>
    <t>The Right Way to Upload YouTube Shorts (Grow FAST in 2026!)</t>
  </si>
  <si>
    <t xml:space="preserve">YT Biceps </t>
  </si>
  <si>
    <t>https://www.youtube.com/watch?v=-aZDbrbbXTE</t>
  </si>
  <si>
    <t>MYSlm5A6zvU</t>
  </si>
  <si>
    <t>Money Is ImportantðŸ¤‘ #trending #comedy #youtube #shorts</t>
  </si>
  <si>
    <t>Nikshri Vlogs</t>
  </si>
  <si>
    <t>https://www.youtube.com/shorts/MYSlm5A6zvU</t>
  </si>
  <si>
    <t>LBlzbehEEJE</t>
  </si>
  <si>
    <t>Clint | A Short Film by Philipp Scholz (with English subtitles)</t>
  </si>
  <si>
    <t>https://www.youtube.com/watch?v=LBlzbehEEJE</t>
  </si>
  <si>
    <t>3y9WWdUgJmQ</t>
  </si>
  <si>
    <t>This took SO many tries ðŸ˜‚ðŸ˜­ #fypã‚· #shorts #justjules #relatable #dance #skit #fail #viral</t>
  </si>
  <si>
    <t>https://www.youtube.com/shorts/3y9WWdUgJmQ</t>
  </si>
  <si>
    <t>yN3xD5LabUk</t>
  </si>
  <si>
    <t>Best 9 years of our life â¤ï¸ðŸ˜­ #shorts #couple #cute</t>
  </si>
  <si>
    <t>https://www.youtube.com/shorts/yN3xD5LabUk</t>
  </si>
  <si>
    <t>fpcX9tFQ6Ng</t>
  </si>
  <si>
    <t>â€œLong distance friendships donâ€™t workâ€ #shorts</t>
  </si>
  <si>
    <t>https://www.youtube.com/shorts/fpcX9tFQ6Ng</t>
  </si>
  <si>
    <t>awrdovbTA6Q</t>
  </si>
  <si>
    <t>Two Teens Arrested For Plot To Kill Classmate #shorts</t>
  </si>
  <si>
    <t>Inside Edition</t>
  </si>
  <si>
    <t>https://www.youtube.com/shorts/awrdovbTA6Q</t>
  </si>
  <si>
    <t>gyhXMlxdL4A</t>
  </si>
  <si>
    <t>O Antava Oo Antava#Kritikachannel#Shorts funny video</t>
  </si>
  <si>
    <t>https://www.youtube.com/shorts/gyhXMlxdL4A</t>
  </si>
  <si>
    <t>Ec8u2Ibs8_s</t>
  </si>
  <si>
    <t>Qual Ã© vocÃª? ðŸ˜‚ #shorts #popteen #tiktok</t>
  </si>
  <si>
    <t>Pop Teen TV</t>
  </si>
  <si>
    <t>https://www.youtube.com/shorts/Ec8u2Ibs8_s</t>
  </si>
  <si>
    <t>twvQQjX4kgQ</t>
  </si>
  <si>
    <t>Don't miss the endðŸ˜¢ #shorts #trending #youtubeshorts #viralvideo #fooddonation</t>
  </si>
  <si>
    <t>Swathi's FamJam</t>
  </si>
  <si>
    <t>https://www.youtube.com/shorts/twvQQjX4kgQ</t>
  </si>
  <si>
    <t>8EsEZEhqe0Q</t>
  </si>
  <si>
    <t>Kisne kiya Phone Chori!#trending #funny #shorts #tmkoc #jethalal #tmkocmemes #ipl</t>
  </si>
  <si>
    <t>Taarak Mehta Ka Ooltah Chashmah</t>
  </si>
  <si>
    <t>https://www.youtube.com/shorts/8EsEZEhqe0Q</t>
  </si>
  <si>
    <t>HgkNmCWn1j4</t>
  </si>
  <si>
    <t>Who else loves playing with black eyeshadowâœ¨: #shorts #short #StarkMakeup</t>
  </si>
  <si>
    <t>StarkMakeup</t>
  </si>
  <si>
    <t>https://www.youtube.com/shorts/HgkNmCWn1j4</t>
  </si>
  <si>
    <t>O3fElxtslSg</t>
  </si>
  <si>
    <t>What did Misti add to her father food ðŸ˜²ðŸ¤£ðŸ¤ª #shorts #viralvideo #trending #mistihappylifestyle</t>
  </si>
  <si>
    <t>https://www.youtube.com/shorts/O3fElxtslSg</t>
  </si>
  <si>
    <t>FWPzJ4uoiHY</t>
  </si>
  <si>
    <t>A wax candy set would cost this muchðŸ’° #shorts #candy</t>
  </si>
  <si>
    <t>Sweets</t>
  </si>
  <si>
    <t>https://www.youtube.com/shorts/FWPzJ4uoiHY</t>
  </si>
  <si>
    <t>Lhu5HWSUxrU</t>
  </si>
  <si>
    <t>Sasural Ke Reception Party Me Pahunche Rangila Or LaxmiðŸ˜˜ #shorts</t>
  </si>
  <si>
    <t>Sonam Priya Shorts</t>
  </si>
  <si>
    <t>https://www.youtube.com/shorts/Lhu5HWSUxrU</t>
  </si>
  <si>
    <t>D4I7IOGSQUA</t>
  </si>
  <si>
    <t>Peppa Vamos Al BaÃ±o Parte 2 ðŸ–#animaciÃ³n #memes #shorts</t>
  </si>
  <si>
    <t>AnimaciÃ³n Youtube</t>
  </si>
  <si>
    <t>https://www.youtube.com/shorts/D4I7IOGSQUA</t>
  </si>
  <si>
    <t>odm1Om-W-0c</t>
  </si>
  <si>
    <t>(5) Magnetic wheel | Mom or Dad #matthewcraft #minecraft #cashminecraft #shorts</t>
  </si>
  <si>
    <t>Matthewcraft</t>
  </si>
  <si>
    <t>https://www.youtube.com/shorts/odm1Om-W-0c</t>
  </si>
  <si>
    <t>jUVgYttT-No</t>
  </si>
  <si>
    <t>Un ladro in casa ðŸ˜± #shorts #short</t>
  </si>
  <si>
    <t>Nen e Nico</t>
  </si>
  <si>
    <t>https://www.youtube.com/shorts/jUVgYttT-No</t>
  </si>
  <si>
    <t>eOFI_ddla0I</t>
  </si>
  <si>
    <t>Kacche chawal se bnaya sach me #shorts #bristihomekitchen #nuggets</t>
  </si>
  <si>
    <t>Bristi Home Kitchen</t>
  </si>
  <si>
    <t>https://www.youtube.com/shorts/eOFI_ddla0I</t>
  </si>
  <si>
    <t>BL7s78QUf4c</t>
  </si>
  <si>
    <t>This LEGO Helmet Isn't What It Seems... #lego #shorts #legos</t>
  </si>
  <si>
    <t>MiniFig Hunter</t>
  </si>
  <si>
    <t>https://www.youtube.com/shorts/BL7s78QUf4c</t>
  </si>
  <si>
    <t>ncqJ1GfOFkc</t>
  </si>
  <si>
    <t>Jab Smiti Ke Sath Smiti Ke Papa Share Karte Hai ðŸ˜‚ðŸ˜‚ðŸ˜‚ #shorts #funnyvedios</t>
  </si>
  <si>
    <t>Sikha shorts and vlogs</t>
  </si>
  <si>
    <t>https://www.youtube.com/shorts/ncqJ1GfOFkc</t>
  </si>
  <si>
    <t>EOpQYBcJOYs</t>
  </si>
  <si>
    <t>Last option ðŸ˜‚ðŸ¤£ #shorts #ytshorts #couplegoals #khwahishgal</t>
  </si>
  <si>
    <t>https://www.youtube.com/shorts/EOpQYBcJOYs</t>
  </si>
  <si>
    <t>Gb3xPXFUhi8</t>
  </si>
  <si>
    <t>Kids in Holi ðŸ˜†ðŸ˜† #Shorts #Viral #comedy #holi</t>
  </si>
  <si>
    <t>The Thoughtful Girl</t>
  </si>
  <si>
    <t>https://www.youtube.com/shorts/Gb3xPXFUhi8</t>
  </si>
  <si>
    <t>yiqaKKOSo4o</t>
  </si>
  <si>
    <t>Khushi ka bakri ðŸ˜ðŸ˜comedy video #shortsviral #reels #tranding #shorts #reels #funny</t>
  </si>
  <si>
    <t>Mampi Roy</t>
  </si>
  <si>
    <t>https://www.youtube.com/shorts/yiqaKKOSo4o</t>
  </si>
  <si>
    <t>ANOaECU0t_8</t>
  </si>
  <si>
    <t>Tom ðŸ“ Jerry (Nandhu&amp;Ammu)Real End TwistðŸ˜ðŸŽˆ #shorts #viral #v5familyshow</t>
  </si>
  <si>
    <t>V5 Family Show</t>
  </si>
  <si>
    <t>https://www.youtube.com/shorts/ANOaECU0t_8</t>
  </si>
  <si>
    <t>_mr0VmPrHHs</t>
  </si>
  <si>
    <t>Holi With Short Height WifeðŸ˜‚ #shorts #teratrigun #shortheight</t>
  </si>
  <si>
    <t>https://www.youtube.com/shorts/_mr0VmPrHHs</t>
  </si>
  <si>
    <t>3lelLbzRttA</t>
  </si>
  <si>
    <t>Myntra Spring short kurti finds ðŸª·âœ¨ #myntrafinds #shortkurti #springkurti #shorts #fypã‚·</t>
  </si>
  <si>
    <t>Britipta</t>
  </si>
  <si>
    <t>https://www.youtube.com/shorts/3lelLbzRttA</t>
  </si>
  <si>
    <t>x088NfGGbFw</t>
  </si>
  <si>
    <t>Aali ka chuchu ðŸ¥ #trending #comedy #youtubeshorts #shorts</t>
  </si>
  <si>
    <t>https://www.youtube.com/shorts/x088NfGGbFw</t>
  </si>
  <si>
    <t>nR5OKDy3WkQ</t>
  </si>
  <si>
    <t>Papa Kanha ne sahi nahi kiya ðŸ¤£ðŸ˜Ž #funny #trending #shorts</t>
  </si>
  <si>
    <t>Hamara Channel</t>
  </si>
  <si>
    <t>https://www.youtube.com/shorts/nR5OKDy3WkQ</t>
  </si>
  <si>
    <t>0PspC_Cw01o</t>
  </si>
  <si>
    <t>PERSONALIZANDO mi TOP y mi CHAQUETA para un eventoðŸ’™ : #shorts #short #siiara_</t>
  </si>
  <si>
    <t>HM media</t>
  </si>
  <si>
    <t>https://www.youtube.com/shorts/0PspC_Cw01o</t>
  </si>
  <si>
    <t>t2R83RpQBAQ</t>
  </si>
  <si>
    <t>Back to School | ï¿¼Part 1 | Stationary Shopping 2026 #shorts</t>
  </si>
  <si>
    <t>Hanishka's world</t>
  </si>
  <si>
    <t>https://www.youtube.com/shorts/t2R83RpQBAQ</t>
  </si>
  <si>
    <t>M-5yiuTTxYs</t>
  </si>
  <si>
    <t>Indian mother things ðŸ¤£ #shorts #comefyvideos #ytshorts</t>
  </si>
  <si>
    <t>https://www.youtube.com/shorts/M-5yiuTTxYs</t>
  </si>
  <si>
    <t>tiUQl8GQ9m8</t>
  </si>
  <si>
    <t>Mama ke à¤–à¤¿à¤²à¥‹à¤¨à¥‡ à¤šà¥‹à¤°à¥€ à¤¹à¥‹ à¤—à¤¯à¤¾ ðŸ˜± #shorts #maa #funnyshorts #chori</t>
  </si>
  <si>
    <t>Jagdish Comedian</t>
  </si>
  <si>
    <t>https://www.youtube.com/shorts/tiUQl8GQ9m8</t>
  </si>
  <si>
    <t>M7u9tr_GTdE</t>
  </si>
  <si>
    <t>They are late for their concert, and then this happened... ðŸ˜± #shorts</t>
  </si>
  <si>
    <t>Dora Family</t>
  </si>
  <si>
    <t>https://www.youtube.com/shorts/M7u9tr_GTdE</t>
  </si>
  <si>
    <t>NgdRu7dT2-g</t>
  </si>
  <si>
    <t>TomðŸ“Jerry (Rithvi&amp;Kavi)Real End TwistðŸ˜‚ ðŸ’ #shorts</t>
  </si>
  <si>
    <t>https://www.youtube.com/shorts/NgdRu7dT2-g</t>
  </si>
  <si>
    <t>gw5mzv37S_8</t>
  </si>
  <si>
    <t>9 year old SEARCHES for VIRAL GLITTER DUMPLINGS âœ¨ðŸ¥² #momlife #family #unboxing #shorts</t>
  </si>
  <si>
    <t>https://www.youtube.com/shorts/gw5mzv37S_8</t>
  </si>
  <si>
    <t>qGvreciOgVs</t>
  </si>
  <si>
    <t>The Sweetest Sister Ever ðŸ¥¹ðŸ’™ #shorts #reaction #Deaf #siblings</t>
  </si>
  <si>
    <t>https://www.youtube.com/shorts/qGvreciOgVs</t>
  </si>
  <si>
    <t>CzfeLvFmMts</t>
  </si>
  <si>
    <t>LE RÃ‰SULTAT !!! crÃ©dit #short #shorts #claraminse</t>
  </si>
  <si>
    <t>claraminse</t>
  </si>
  <si>
    <t>https://www.youtube.com/shorts/CzfeLvFmMts</t>
  </si>
  <si>
    <t>jQkIt_ZnF4g</t>
  </si>
  <si>
    <t>JihanðŸ˜Ž Vs Saheb ðŸ¥¸| ðŸ¤ªðŸ˜‚ #shorts #jihanshorts #comedy #youtubeshorts #trendingshorts</t>
  </si>
  <si>
    <t>Jihan Shorts</t>
  </si>
  <si>
    <t>https://www.youtube.com/shorts/jQkIt_ZnF4g</t>
  </si>
  <si>
    <t>GTGsXBcgd04</t>
  </si>
  <si>
    <t>Unlock Audio Interface Flexibility #shorts</t>
  </si>
  <si>
    <t>Audio University</t>
  </si>
  <si>
    <t>https://www.youtube.com/shorts/GTGsXBcgd04</t>
  </si>
  <si>
    <t>RjofNW4ssFw</t>
  </si>
  <si>
    <t>Las HUNTRIX son TIKTOKERS en las GUERRERAS K-POP ðŸ˜­ðŸ˜­ #shorts</t>
  </si>
  <si>
    <t>DatoSorpresa - Curiosidades</t>
  </si>
  <si>
    <t>https://www.youtube.com/shorts/RjofNW4ssFw</t>
  </si>
  <si>
    <t>EAInEIO7_TI</t>
  </si>
  <si>
    <t>Wer weiÃŸ was das bedeutet ? ðŸ˜­â¤ï¸ #shorts #videogames</t>
  </si>
  <si>
    <t>Patricia Herfort</t>
  </si>
  <si>
    <t>https://www.youtube.com/shorts/EAInEIO7_TI</t>
  </si>
  <si>
    <t>fu2OdeGmtao</t>
  </si>
  <si>
    <t>POOR but still HAPPY ðŸ˜ƒ  #shorts #couple #comedy</t>
  </si>
  <si>
    <t>https://www.youtube.com/shorts/fu2OdeGmtao</t>
  </si>
  <si>
    <t>lKLirc23ku8</t>
  </si>
  <si>
    <t>o boi estava limpando a casa #shorts</t>
  </si>
  <si>
    <t>Antonella Volpe</t>
  </si>
  <si>
    <t>https://www.youtube.com/shorts/lKLirc23ku8</t>
  </si>
  <si>
    <t>374TzrGxEuw</t>
  </si>
  <si>
    <t>Alles auÃŸer ChatGPT... ðŸ˜³ðŸ˜‚ | Mohi__07 #shorts</t>
  </si>
  <si>
    <t>Mohi__07</t>
  </si>
  <si>
    <t>https://www.youtube.com/shorts/374TzrGxEuw</t>
  </si>
  <si>
    <t>xi7qvBW31GI</t>
  </si>
  <si>
    <t>PRETEND THE TEACHER JUST LEFT ðŸ’ƒ #dance #viral #shorts</t>
  </si>
  <si>
    <t>https://www.youtube.com/shorts/xi7qvBW31GI</t>
  </si>
  <si>
    <t>w8hHHbJuSbs</t>
  </si>
  <si>
    <t>Junior CrushðŸ˜»Part-23|Watch till The EndðŸ™ˆ#sharmilageorge #shorts</t>
  </si>
  <si>
    <t>https://www.youtube.com/shorts/w8hHHbJuSbs</t>
  </si>
  <si>
    <t>J6y2Xwmew94</t>
  </si>
  <si>
    <t>Gullak Ki Gas ðŸ¤¢ðŸ˜« Day 729 #minivlog #ashortaday #tranding #shorts #omnamahshivay</t>
  </si>
  <si>
    <t>Daily Dolly Vlogs</t>
  </si>
  <si>
    <t>https://www.youtube.com/shorts/J6y2Xwmew94</t>
  </si>
  <si>
    <t>_1U1p-M1G0A</t>
  </si>
  <si>
    <t>Mc Lorenzo foi na dentistaðŸ˜³ #mclorenzo #shortvideo #humor #dentista #shorts #short</t>
  </si>
  <si>
    <t>MC Lorenzo</t>
  </si>
  <si>
    <t>https://www.youtube.com/shorts/_1U1p-M1G0A</t>
  </si>
  <si>
    <t>sITPxYGE_fU</t>
  </si>
  <si>
    <t>Is gao ki unpad mitti #Shorts #funny #comedy</t>
  </si>
  <si>
    <t>https://www.youtube.com/shorts/sITPxYGE_fU</t>
  </si>
  <si>
    <t>n5MoNav8YPI</t>
  </si>
  <si>
    <t>That one Kid On Birthday ðŸŽ‚ #shorts #viral #comedy #shortvideos</t>
  </si>
  <si>
    <t>https://www.youtube.com/shorts/n5MoNav8YPI</t>
  </si>
  <si>
    <t>y0PDsDzYCLU</t>
  </si>
  <si>
    <t>Rudra Mansi ke liye pakode banae #shorts #maa #village #love</t>
  </si>
  <si>
    <t>Ranwa Family</t>
  </si>
  <si>
    <t>https://www.youtube.com/shorts/y0PDsDzYCLU</t>
  </si>
  <si>
    <t>RigPz-Bo2B0</t>
  </si>
  <si>
    <t>Los solteros en San Valentin ðŸ’ðŸ˜‚ #shorts #humor #tiktokvideo #latina #comedia #funny #peru #fyp</t>
  </si>
  <si>
    <t>https://www.youtube.com/shorts/RigPz-Bo2B0</t>
  </si>
  <si>
    <t>40sADWKtv5U</t>
  </si>
  <si>
    <t>Yevariki Loss?ðŸ¤£ðŸ¤£ðŸ¤£ðŸ¤£ #maithilisreetan #comedy #funny #shorts #ytshorts #viral</t>
  </si>
  <si>
    <t>https://www.youtube.com/shorts/40sADWKtv5U</t>
  </si>
  <si>
    <t>IBbtGAHBkYs</t>
  </si>
  <si>
    <t>Classroom Kaadhal Episode - 48â¤ï¸ | Wait for twist ðŸ˜…  #shorts #jennimj #ytshorts</t>
  </si>
  <si>
    <t>Jenni MJ</t>
  </si>
  <si>
    <t>https://www.youtube.com/shorts/IBbtGAHBkYs</t>
  </si>
  <si>
    <t>9alrl4d7AjQ</t>
  </si>
  <si>
    <t>Biggest Samosa For All Samosa LoversðŸ˜ | Chahat Anand | #shorts</t>
  </si>
  <si>
    <t>Chahat Anand</t>
  </si>
  <si>
    <t>https://www.youtube.com/shorts/9alrl4d7AjQ</t>
  </si>
  <si>
    <t>Rx-JpT7qIUc</t>
  </si>
  <si>
    <t>CANâ€™T BELIEVE THIS HAPPENED ðŸ˜±ðŸ¥¹ @Shafar_sjc #shorts #trends #viral</t>
  </si>
  <si>
    <t>https://www.youtube.com/shorts/Rx-JpT7qIUc</t>
  </si>
  <si>
    <t>feNU4LlhYfw</t>
  </si>
  <si>
    <t>Ich VS Mittelalter... ðŸ˜‚ðŸ˜‚ #lidiro #shorts</t>
  </si>
  <si>
    <t>LiDiRo</t>
  </si>
  <si>
    <t>https://www.youtube.com/shorts/feNU4LlhYfw</t>
  </si>
  <si>
    <t>5jyECPiesBc</t>
  </si>
  <si>
    <t>POV: Ese AMIGO que tiene PISCINA...ðŸ›ŸðŸ¤© #humor #comedia #shorts</t>
  </si>
  <si>
    <t>MatWolf16</t>
  </si>
  <si>
    <t>https://www.youtube.com/shorts/5jyECPiesBc</t>
  </si>
  <si>
    <t>kvOsGFvqebU</t>
  </si>
  <si>
    <t>How to elevate your shortest shorts in the world outfit ðŸ’™ 1-4? Which one are you picking?</t>
  </si>
  <si>
    <t>IamSimplyMorgan</t>
  </si>
  <si>
    <t>https://www.youtube.com/shorts/kvOsGFvqebU</t>
  </si>
  <si>
    <t>rN4QqFyrNOY</t>
  </si>
  <si>
    <t>Er muss die kleinen von den groÃŸen trennen ðŸ¤¯ #shorts</t>
  </si>
  <si>
    <t>Freddy</t>
  </si>
  <si>
    <t>https://www.youtube.com/shorts/rN4QqFyrNOY</t>
  </si>
  <si>
    <t>s4nwAqUHSSg</t>
  </si>
  <si>
    <t>Eroju lunch Amma AdharakotesindhiðŸ¤¤â¤ï¸#ishqyouall #swv #telugu #youtube #shorts</t>
  </si>
  <si>
    <t>Soundarya with Varshini - Telugu</t>
  </si>
  <si>
    <t>https://www.youtube.com/shorts/s4nwAqUHSSg</t>
  </si>
  <si>
    <t>rZG9aipfsNQ</t>
  </si>
  <si>
    <t>Rasam Ka Galat Fayda ðŸ˜… | #shorts | Shorts Break</t>
  </si>
  <si>
    <t>https://www.youtube.com/shorts/rZG9aipfsNQ</t>
  </si>
  <si>
    <t>qBC1SHlour0</t>
  </si>
  <si>
    <t>Wait for the twist ðŸ˜‚ #comedy #comedyvideo #shorts #youtubeshorts #funny #funnyvideo</t>
  </si>
  <si>
    <t>Asif Dramaz</t>
  </si>
  <si>
    <t>https://www.youtube.com/shorts/qBC1SHlour0</t>
  </si>
  <si>
    <t>0saYNLTJnw8</t>
  </si>
  <si>
    <t>Was gibt es Lustiges bei Euch?! #shorts</t>
  </si>
  <si>
    <t>Mamiversum</t>
  </si>
  <si>
    <t>https://www.youtube.com/shorts/0saYNLTJnw8</t>
  </si>
  <si>
    <t>VdwsyRhYFNg</t>
  </si>
  <si>
    <t>ComemoraÃ§Ãµes BIZARRAS no FUTEBOLâ€¦ ðŸ˜³ #shorts</t>
  </si>
  <si>
    <t>eFootz BR</t>
  </si>
  <si>
    <t>https://www.youtube.com/shorts/VdwsyRhYFNg</t>
  </si>
  <si>
    <t>BUyuRzSUlVg</t>
  </si>
  <si>
    <t>ðŸ¤¤Mutton shahi Roll #subscribe #shorts #youtube #youtubeindia #cooking #shortvideo #food</t>
  </si>
  <si>
    <t>Newfangled with Prem</t>
  </si>
  <si>
    <t>https://www.youtube.com/shorts/BUyuRzSUlVg</t>
  </si>
  <si>
    <t>oOs22gv9Abs</t>
  </si>
  <si>
    <t>Nur Familien verstehen diesen Skill ðŸ¤« 2.0 #shorts Mamiseelen</t>
  </si>
  <si>
    <t>Mamiseelen</t>
  </si>
  <si>
    <t>https://www.youtube.com/shorts/oOs22gv9Abs</t>
  </si>
  <si>
    <t>Q_x4uFilDL0</t>
  </si>
  <si>
    <t>That one chor teacher ðŸ˜‚ #shorts #viral #explorepage #relatable #chor</t>
  </si>
  <si>
    <t xml:space="preserve">Fiza khan Spn </t>
  </si>
  <si>
    <t>https://www.youtube.com/shorts/Q_x4uFilDL0</t>
  </si>
  <si>
    <t>IlS5NsBDAS4</t>
  </si>
  <si>
    <t>Amaira ka Cake ðŸŽ‚ðŸ¥° #shorts #comedy</t>
  </si>
  <si>
    <t>Rajesh Kumar Shorts 14</t>
  </si>
  <si>
    <t>https://www.youtube.com/shorts/IlS5NsBDAS4</t>
  </si>
  <si>
    <t>nbgbi2fjHiI</t>
  </si>
  <si>
    <t>Tag your tall or short friend ðŸ¤­ #relatable #funny #duo #short #fyp</t>
  </si>
  <si>
    <t>Sydney Smiles</t>
  </si>
  <si>
    <t>https://www.youtube.com/shorts/nbgbi2fjHiI</t>
  </si>
  <si>
    <t>OKLFAhxGwLo</t>
  </si>
  <si>
    <t>Comment if you ca do this! #jonathanjoly #shorts</t>
  </si>
  <si>
    <t>https://www.youtube.com/shorts/OKLFAhxGwLo</t>
  </si>
  <si>
    <t>WavM8N3IQ_A</t>
  </si>
  <si>
    <t>ZKOUÅ ÃM VIRÃLNÃ MALINY / #shorts</t>
  </si>
  <si>
    <t>Terysa</t>
  </si>
  <si>
    <t>https://www.youtube.com/shorts/WavM8N3IQ_A</t>
  </si>
  <si>
    <t>tlQuOx0d3gI</t>
  </si>
  <si>
    <t>PATRICINHAS DE FILMES - bÃ¡rbara coura #shorts</t>
  </si>
  <si>
    <t>BÃ¡rbara Coura</t>
  </si>
  <si>
    <t>https://www.youtube.com/shorts/tlQuOx0d3gI</t>
  </si>
  <si>
    <t>xFB8yOf2G3c</t>
  </si>
  <si>
    <t>Misti Takli bana diya ðŸ‘¶ðŸ¤£ðŸ¤ªðŸ¤— #shorts #viralvideos #trending #funnyvideos</t>
  </si>
  <si>
    <t>https://www.youtube.com/shorts/xFB8yOf2G3c</t>
  </si>
  <si>
    <t>uQM8E1sIAz8</t>
  </si>
  <si>
    <t>Preise erraten ChallengeðŸ˜³ #shorts</t>
  </si>
  <si>
    <t>StineundMarc</t>
  </si>
  <si>
    <t>https://www.youtube.com/shorts/uQM8E1sIAz8</t>
  </si>
  <si>
    <t>xxMT2cCXt78</t>
  </si>
  <si>
    <t>When You Have Short Height WifeðŸ˜‚ #shorts #teratrigun #shortheight</t>
  </si>
  <si>
    <t>https://www.youtube.com/shorts/xxMT2cCXt78</t>
  </si>
  <si>
    <t>W8ApY9q9ho0</t>
  </si>
  <si>
    <t>Fake love ðŸ¥¹â¤ï¸ ( Part - 1 ) #shorts #youtubeshorts</t>
  </si>
  <si>
    <t>Maneesh Vishnu</t>
  </si>
  <si>
    <t>https://www.youtube.com/shorts/W8ApY9q9ho0</t>
  </si>
  <si>
    <t>23LmHogE64I</t>
  </si>
  <si>
    <t>Closest To 25 Pieces Win The GameðŸ˜œ #shorts</t>
  </si>
  <si>
    <t>TeAm STARS</t>
  </si>
  <si>
    <t>https://www.youtube.com/shorts/23LmHogE64I</t>
  </si>
  <si>
    <t>dzcti8eoanM</t>
  </si>
  <si>
    <t>Da hat er den falschen jungen erwischt #shorts</t>
  </si>
  <si>
    <t>Schliingeel</t>
  </si>
  <si>
    <t>https://www.youtube.com/shorts/dzcti8eoanM</t>
  </si>
  <si>
    <t>WWkuKPSMd1I</t>
  </si>
  <si>
    <t>Who did it best!! ðŸ‘€ #jonathanjoly #shorts</t>
  </si>
  <si>
    <t>https://www.youtube.com/shorts/WWkuKPSMd1I</t>
  </si>
  <si>
    <t>VRWecpC1Nf4</t>
  </si>
  <si>
    <t>Tillu ki Ghar main Swimming PoolðŸŒŠðŸ¤£#shorts #comedy #funny #olidavines</t>
  </si>
  <si>
    <t>https://www.youtube.com/shorts/VRWecpC1Nf4</t>
  </si>
  <si>
    <t>ZPTw61AUyP4</t>
  </si>
  <si>
    <t>SANAðŸ‘©â€â¤ï¸â€ðŸ‘¨ Unplanned FeelingsðŸ’•|  Episode - 3ï¸âƒ£ #shortfilm #love #shorts #family</t>
  </si>
  <si>
    <t>https://www.youtube.com/shorts/ZPTw61AUyP4</t>
  </si>
  <si>
    <t>n7dHNDo7oHk</t>
  </si>
  <si>
    <t>EL PRIMO DE OREN SPRUNKI FAMILIA FIGURAS INCREDIBOX #Shorts</t>
  </si>
  <si>
    <t>Osito Videos</t>
  </si>
  <si>
    <t>https://www.youtube.com/shorts/n7dHNDo7oHk</t>
  </si>
  <si>
    <t>pfltKY0kwcM</t>
  </si>
  <si>
    <t>JANEIRO, FEVEREIROâ€¦ ðŸ¥°â¤ï¸ðŸ™ðŸ¥³ #shorts</t>
  </si>
  <si>
    <t>MamÃ£e e Antonella</t>
  </si>
  <si>
    <t>https://www.youtube.com/shorts/pfltKY0kwcM</t>
  </si>
  <si>
    <t>tgsVh1eYPAU</t>
  </si>
  <si>
    <t>ADIVINHE O DESENHO NAS COSTAS! #shorts</t>
  </si>
  <si>
    <t>https://www.youtube.com/shorts/tgsVh1eYPAU</t>
  </si>
  <si>
    <t>sEfJJa70EYY</t>
  </si>
  <si>
    <t>No Excuse on Holi ðŸ˜ #shorts #funny #holi</t>
  </si>
  <si>
    <t>The Savage Siblings</t>
  </si>
  <si>
    <t>https://www.youtube.com/shorts/sEfJJa70EYY</t>
  </si>
  <si>
    <t>pJ-vKqjyaJw</t>
  </si>
  <si>
    <t>Esses Cabelos Ficaram Perfeitos #shorts</t>
  </si>
  <si>
    <t>Amandinha</t>
  </si>
  <si>
    <t>https://www.youtube.com/shorts/pJ-vKqjyaJw</t>
  </si>
  <si>
    <t>NX_3wBrG8q0</t>
  </si>
  <si>
    <t>duo is back â¤ï¸#shorts #sister #brother</t>
  </si>
  <si>
    <t>https://www.youtube.com/shorts/NX_3wBrG8q0</t>
  </si>
  <si>
    <t>ahv2L6ODPVg</t>
  </si>
  <si>
    <t>Trending Ice Cream Of Dubai ðŸ˜³ #neetubisht #minivlog #lakhneet #youtubeshorts #trending #shorts</t>
  </si>
  <si>
    <t>Neetu Bisht</t>
  </si>
  <si>
    <t>https://www.youtube.com/shorts/ahv2L6ODPVg</t>
  </si>
  <si>
    <t>Hj0gBogjNsg</t>
  </si>
  <si>
    <t>The last one was unexpected #jonathanjoly #shorts ï¿¼</t>
  </si>
  <si>
    <t>https://www.youtube.com/shorts/Hj0gBogjNsg</t>
  </si>
  <si>
    <t>lLjy7GTf7LE</t>
  </si>
  <si>
    <t>When your crush is in Another section ðŸ« #shorts #sejalgabashorts #ytshorts #school</t>
  </si>
  <si>
    <t>https://www.youtube.com/shorts/lLjy7GTf7LE</t>
  </si>
  <si>
    <t>rWJc34VR4Y4</t>
  </si>
  <si>
    <t>Respect girl ðŸ¥¹ðŸ’”ðŸ™ #shorts #viralshorts  #shortsfeed #tranding #respect #girl #youtubeshorts #yt</t>
  </si>
  <si>
    <t>Dawood Khan</t>
  </si>
  <si>
    <t>https://www.youtube.com/shorts/rWJc34VR4Y4</t>
  </si>
  <si>
    <t>bi3z3B-27b4</t>
  </si>
  <si>
    <t>er hat es gefÃ¼hlt: #short #shorts #couplegoals #funny #foryou</t>
  </si>
  <si>
    <t>HMT short</t>
  </si>
  <si>
    <t>https://www.youtube.com/shorts/bi3z3B-27b4</t>
  </si>
  <si>
    <t>87be3nwI7FI</t>
  </si>
  <si>
    <t>Tipica scena nei film americani - Kiro Ebra #comedy #shorts</t>
  </si>
  <si>
    <t>Kiro Ebra</t>
  </si>
  <si>
    <t>https://www.youtube.com/shorts/87be3nwI7FI</t>
  </si>
  <si>
    <t>hevZMEQmCOk</t>
  </si>
  <si>
    <t>LAS COSAS DE PAPA ðŸ« ! #humor #comedia #risas #shorts #funny #shortsviral</t>
  </si>
  <si>
    <t>Mia Plumones</t>
  </si>
  <si>
    <t>https://www.youtube.com/shorts/hevZMEQmCOk</t>
  </si>
  <si>
    <t>fIMmGW6E-84</t>
  </si>
  <si>
    <t>Â¡Â¡IMITANDO A KAROL G!! #shorts #short #rutina</t>
  </si>
  <si>
    <t>Karina &amp; Marina</t>
  </si>
  <si>
    <t>https://www.youtube.com/shorts/fIMmGW6E-84</t>
  </si>
  <si>
    <t>1RTQ00iqtV0</t>
  </si>
  <si>
    <t>Teachers before holi ðŸ‘©â€ðŸ«ðŸ«Ÿ #shorts #sejalgabashorts #teacher #holi</t>
  </si>
  <si>
    <t>https://www.youtube.com/shorts/1RTQ00iqtV0</t>
  </si>
  <si>
    <t>uzRTdESMfYU</t>
  </si>
  <si>
    <t>Kya apke saath aisa kuch hua kya #Shorts #funny #comedy</t>
  </si>
  <si>
    <t>https://www.youtube.com/shorts/uzRTdESMfYU</t>
  </si>
  <si>
    <t>BQsSIVbsKho</t>
  </si>
  <si>
    <t>hooyo macaan #shorts #vlog #xogmaal #ramadan #musalsal #comedy #bollywood #videos</t>
  </si>
  <si>
    <t>SAMO MEDIA</t>
  </si>
  <si>
    <t>https://www.youtube.com/shorts/BQsSIVbsKho</t>
  </si>
  <si>
    <t>Tvw-I5EmrsQ</t>
  </si>
  <si>
    <t>Wait for the 3rd oneðŸ˜± #shorts</t>
  </si>
  <si>
    <t>https://www.youtube.com/shorts/Tvw-I5EmrsQ</t>
  </si>
  <si>
    <t>vHgUGeQtyzM</t>
  </si>
  <si>
    <t>UNLIMITED SHOPPING At American Girl...ðŸ™ˆ #shorts #familyvlog #fatherdaughter #shopping</t>
  </si>
  <si>
    <t>https://www.youtube.com/shorts/vHgUGeQtyzM</t>
  </si>
  <si>
    <t>ifWG8euXCi4</t>
  </si>
  <si>
    <t>Painting white bag #diy #craft #painting #bag #flowers #colourful #shorts</t>
  </si>
  <si>
    <t>Miss RR</t>
  </si>
  <si>
    <t>https://www.youtube.com/shorts/ifWG8euXCi4</t>
  </si>
  <si>
    <t>RhY7u3lAWQQ</t>
  </si>
  <si>
    <t>Instant Onion Chutney ASMR #shorts #asmr #asmreating #asmrsounds #food #cooking #recipe #viral</t>
  </si>
  <si>
    <t>Bheem ASMR</t>
  </si>
  <si>
    <t>https://www.youtube.com/shorts/RhY7u3lAWQQ</t>
  </si>
  <si>
    <t>RJFt15j99dY</t>
  </si>
  <si>
    <t>Funny Bee Movie Edit #shorts</t>
  </si>
  <si>
    <t>TRAY.TV.</t>
  </si>
  <si>
    <t>https://www.youtube.com/shorts/RJFt15j99dY</t>
  </si>
  <si>
    <t>0nIyymuoiOc</t>
  </si>
  <si>
    <t>CHISTES GRACIOSOS QUE ME MANDARON!!! #shorts</t>
  </si>
  <si>
    <t>Meowrld</t>
  </si>
  <si>
    <t>https://www.youtube.com/shorts/0nIyymuoiOc</t>
  </si>
  <si>
    <t>W2HMworfBGg</t>
  </si>
  <si>
    <t>When you are short heighted girl ðŸ‘§ðŸ¼ #shorts #ytshorts #sejalgabashorts</t>
  </si>
  <si>
    <t>https://www.youtube.com/shorts/W2HMworfBGg</t>
  </si>
  <si>
    <t>uUqhu2ZhiIk</t>
  </si>
  <si>
    <t>Chicken ðŸ” 4 #comedy #trending #viral #girl #shorts</t>
  </si>
  <si>
    <t>Harrish krish</t>
  </si>
  <si>
    <t>https://www.youtube.com/shorts/uUqhu2ZhiIk</t>
  </si>
  <si>
    <t>SG-HQwWIdzw</t>
  </si>
  <si>
    <t>E series name guess Cheyandi??..#achyuthasaddikuti #trending #shorts</t>
  </si>
  <si>
    <t>Achyutha saddikuti</t>
  </si>
  <si>
    <t>https://www.youtube.com/shorts/SG-HQwWIdzw</t>
  </si>
  <si>
    <t>hNT4pnRewVI</t>
  </si>
  <si>
    <t>smooth movementðŸ”¥ #amazing #sports #respect #smooth #believe #shorts #tiktok #ytshorts #tiktok</t>
  </si>
  <si>
    <t>Ymuxdio</t>
  </si>
  <si>
    <t>https://www.youtube.com/shorts/hNT4pnRewVI</t>
  </si>
  <si>
    <t>SjEeY1sVC9Y</t>
  </si>
  <si>
    <t>âš ï¸MAAF PARA BUAYA DARAT AKU CUMAN BERCANDAðŸ˜­ðŸ™ðŸŠ #shorts #itsmeissie</t>
  </si>
  <si>
    <t>itsmeissie</t>
  </si>
  <si>
    <t>https://www.youtube.com/shorts/SjEeY1sVC9Y</t>
  </si>
  <si>
    <t>Qs_7w2OoblU</t>
  </si>
  <si>
    <t>How I Cut a Cheese EQUALLY.. ðŸ§€ðŸ˜­ #relatablestories #comedy #funnymemes</t>
  </si>
  <si>
    <t>https://www.youtube.com/shorts/Qs_7w2OoblU</t>
  </si>
  <si>
    <t>BoiSnfamFR4</t>
  </si>
  <si>
    <t>MI RUTINA DE LA NOCHE siendo COQUETTE  #shorts  #shortsvideo</t>
  </si>
  <si>
    <t>https://www.youtube.com/shorts/BoiSnfamFR4</t>
  </si>
  <si>
    <t>Y8GtreRUsEM</t>
  </si>
  <si>
    <t>Quando sei di questo umore ogni giorno ðŸ˜‚ #shorts #short</t>
  </si>
  <si>
    <t>https://www.youtube.com/shorts/Y8GtreRUsEM</t>
  </si>
  <si>
    <t>uQ3DeDuE7qI</t>
  </si>
  <si>
    <t>Amaira ko chachu  k sath jana h #shorts #FestiveWithShorts</t>
  </si>
  <si>
    <t>The geeta gurjar</t>
  </si>
  <si>
    <t>https://www.youtube.com/shorts/uQ3DeDuE7qI</t>
  </si>
  <si>
    <t>axhJqvaI3Hs</t>
  </si>
  <si>
    <t>HE DREAMS ABOUT OTHER GIRLS?!ðŸ˜¨ #shorts</t>
  </si>
  <si>
    <t>https://www.youtube.com/shorts/axhJqvaI3Hs</t>
  </si>
  <si>
    <t>5164neq_q5Q</t>
  </si>
  <si>
    <t>BOCIL REBUTAN CUTTON CANDY MINI BENTUK BUAH ðŸ¬â€¼ï¸ #shorts #permenunik #ngeshortsdulu</t>
  </si>
  <si>
    <t>Hana Callista</t>
  </si>
  <si>
    <t>https://www.youtube.com/shorts/5164neq_q5Q</t>
  </si>
  <si>
    <t>Z8QOH8a5_7M</t>
  </si>
  <si>
    <t>PAPA BAIK BAGI PERMEN GUMMY VIRAL KARAKTER ðŸ¦† Mami Jadi Bebek #shorts #permenviral</t>
  </si>
  <si>
    <t>https://www.youtube.com/shorts/Z8QOH8a5_7M</t>
  </si>
  <si>
    <t>sSepfueNZ3g</t>
  </si>
  <si>
    <t>Tag that nibbiðŸ˜‚ #funny #shorts #relatable #youtubeshorts</t>
  </si>
  <si>
    <t>https://www.youtube.com/shorts/sSepfueNZ3g</t>
  </si>
  <si>
    <t>xnSQED2JNeA</t>
  </si>
  <si>
    <t>Leftover roti snacks #shorts #snacks #recipe #leftoverroti #trending #viral #shortsfeed #cooking</t>
  </si>
  <si>
    <t>Ghar ka khana vlog</t>
  </si>
  <si>
    <t>https://www.youtube.com/shorts/xnSQED2JNeA</t>
  </si>
  <si>
    <t>uWLnPzN35Mc</t>
  </si>
  <si>
    <t>Tapa no banheiro ðŸ˜±ðŸ˜± #shorts #memes</t>
  </si>
  <si>
    <t>VALENTINA SOBRINHO E FAMÃLIA</t>
  </si>
  <si>
    <t>https://www.youtube.com/shorts/uWLnPzN35Mc</t>
  </si>
  <si>
    <t>z7ISJlcrWq4</t>
  </si>
  <si>
    <t>Girl's Vs Boy's Class Leader's ðŸ˜ #comedy #comedyvideo #shorts #youtubeshorts #funny #funnyvideo</t>
  </si>
  <si>
    <t>Juneed Entertainment</t>
  </si>
  <si>
    <t>https://www.youtube.com/shorts/z7ISJlcrWq4</t>
  </si>
  <si>
    <t>PLHShu1grgs</t>
  </si>
  <si>
    <t>Le mamme al mare - Kiro Ebra #shorts #comedy #mamme #mare</t>
  </si>
  <si>
    <t>https://www.youtube.com/shorts/PLHShu1grgs</t>
  </si>
  <si>
    <t>LgoPD6gFQYQ</t>
  </si>
  <si>
    <t>à®šà®ªà®¾..!à®‡à®ªà¯à®ªà®µà¯‡ à®•à®£à¯à®£  à®•à®Ÿà¯à®Ÿà¯à®¤à¯‡ðŸ¤£ðŸ˜‚ #shorts #fun #comedy</t>
  </si>
  <si>
    <t>https://www.youtube.com/shorts/LgoPD6gFQYQ</t>
  </si>
  <si>
    <t>JtfNdOIzxRI</t>
  </si>
  <si>
    <t>99 Nights in the Forest Matchâ­ï¸ #roblox #99nightsintheforest #99nights #shorts #fyp #99nights</t>
  </si>
  <si>
    <t>ShibaGO!</t>
  </si>
  <si>
    <t>https://www.youtube.com/shorts/JtfNdOIzxRI</t>
  </si>
  <si>
    <t>MNVszCYwMHQ</t>
  </si>
  <si>
    <t>VÃ­ctimas en Halloween "El peso" ðŸ¥©ðŸ´ | Episodio 1 |  Ivanova BM | #shorts #ivanova_bm</t>
  </si>
  <si>
    <t>Ivanova BM</t>
  </si>
  <si>
    <t>https://www.youtube.com/shorts/MNVszCYwMHQ</t>
  </si>
  <si>
    <t>X73rMlgQbiQ</t>
  </si>
  <si>
    <t>Cute girl very funny ðŸ¤£ ðŸ¤—ðŸ¤ªðŸ˜¹ #shorts #funnyvideo #trending</t>
  </si>
  <si>
    <t>https://www.youtube.com/shorts/X73rMlgQbiQ</t>
  </si>
  <si>
    <t>WE9G0HGMvnw</t>
  </si>
  <si>
    <t>Which Girl Will He Pick? ðŸ‘€â™¥ï¸ #Shorts #Relationship #Trending</t>
  </si>
  <si>
    <t>https://www.youtube.com/shorts/WE9G0HGMvnw</t>
  </si>
  <si>
    <t>F0R3s900I2k</t>
  </si>
  <si>
    <t>Amazing Videography ideas with mobile ðŸ˜±ðŸ‘€ #shorts  #videography #ideas</t>
  </si>
  <si>
    <t>https://www.youtube.com/shorts/F0R3s900I2k</t>
  </si>
  <si>
    <t>ZvptCPrknP8</t>
  </si>
  <si>
    <t>Send this to your friends and see who gets scared ðŸ¤ª #shorts</t>
  </si>
  <si>
    <t>LIGHTS ARE OFF</t>
  </si>
  <si>
    <t>https://www.youtube.com/shorts/ZvptCPrknP8</t>
  </si>
  <si>
    <t>RRiLEFV75II</t>
  </si>
  <si>
    <t>Magical BaloonðŸ’•ðŸ¦„ðŸŽŠðŸ‡®ðŸ‡³ #shortvideo #short #shorts #trend</t>
  </si>
  <si>
    <t>https://www.youtube.com/shorts/RRiLEFV75II</t>
  </si>
  <si>
    <t>BF7wwXZ6MMU</t>
  </si>
  <si>
    <t>Roommate's Gift Takes a Dark and Deadly Turn | Pt 1
#shorts #anime #animeshorts #animeclips #animes</t>
  </si>
  <si>
    <t>AinzAnimation</t>
  </si>
  <si>
    <t>https://www.youtube.com/watch?v=BF7wwXZ6MMU</t>
  </si>
  <si>
    <t>ZqyJ1o5tq3Y</t>
  </si>
  <si>
    <t>ICH BIN EIN PICKME GIRLðŸ˜± #cleangirl #aesthetic #explore #shorts #beauty #makeup #skincare</t>
  </si>
  <si>
    <t xml:space="preserve">chaaunhi </t>
  </si>
  <si>
    <t>https://www.youtube.com/shorts/ZqyJ1o5tq3Y</t>
  </si>
  <si>
    <t>sGLEJu_9poQ</t>
  </si>
  <si>
    <t>à®Žà®ªà¯à®ªà®Ÿà®¿ à®¨à®®à¯à®® à®à®Ÿà®¿à®¯à®¾ðŸ˜œðŸ¥° #shorts #happy #love | With Love Nagaraj Sangeetha</t>
  </si>
  <si>
    <t>https://www.youtube.com/shorts/sGLEJu_9poQ</t>
  </si>
  <si>
    <t>T1C-8AgvstM</t>
  </si>
  <si>
    <t>Blood Angels (FKA Thralls) | Full Movie | 2005 | Horror, Sexy Vampires | Lorenzo Lamas, Leah Cairns</t>
  </si>
  <si>
    <t>Popcornflix</t>
  </si>
  <si>
    <t>https://www.youtube.com/watch?v=T1C-8AgvstM</t>
  </si>
  <si>
    <t>SeutERxqs1Q</t>
  </si>
  <si>
    <t>Sons vs Daughters when you hurt yourself at school ðŸ˜‚#shorts</t>
  </si>
  <si>
    <t>Grayskitz</t>
  </si>
  <si>
    <t>https://www.youtube.com/shorts/SeutERxqs1Q</t>
  </si>
  <si>
    <t>32et6wN1YVA</t>
  </si>
  <si>
    <t>Girls vs Boys ðŸ˜‚ while doing face wash #comedy #comedyvideo #shorts #youtubeshorts #funny #funnyvideo</t>
  </si>
  <si>
    <t>https://www.youtube.com/shorts/32et6wN1YVA</t>
  </si>
  <si>
    <t>OopOg8PNFto</t>
  </si>
  <si>
    <t>#siraisuccessmeet #anishma #anandathambirajah #vikramprabhu #lkakshaykumar bonding! #shorts #viral</t>
  </si>
  <si>
    <t>cinema speak</t>
  </si>
  <si>
    <t>https://www.youtube.com/shorts/OopOg8PNFto</t>
  </si>
  <si>
    <t>gFpBSODwgcw</t>
  </si>
  <si>
    <t>https://www.youtube.com/shorts/gFpBSODwgcw</t>
  </si>
  <si>
    <t>ZCjAGbLYAwA</t>
  </si>
  <si>
    <t>Welcher FrÃ¼hlingstyp bist du?! #shorts</t>
  </si>
  <si>
    <t>https://www.youtube.com/shorts/ZCjAGbLYAwA</t>
  </si>
  <si>
    <t>_3GCy9DxB0c</t>
  </si>
  <si>
    <t>Wife &amp; Mummy ðŸ˜‚ #viral #comedy #family #minivlog #shortvideo #shorts #funny</t>
  </si>
  <si>
    <t>U Turns Creations</t>
  </si>
  <si>
    <t>https://www.youtube.com/shorts/_3GCy9DxB0c</t>
  </si>
  <si>
    <t>GO62K5-9oGs</t>
  </si>
  <si>
    <t>Wie findet ihr den neuen Teppich?ðŸ˜‚ #zocken #lustig #eheleben #beziehung #shorts</t>
  </si>
  <si>
    <t xml:space="preserve">Diana &amp; Anton </t>
  </si>
  <si>
    <t>https://www.youtube.com/shorts/GO62K5-9oGs</t>
  </si>
  <si>
    <t>KLudTIbwfhs</t>
  </si>
  <si>
    <t>MamÃ¡ la Dra de la casa ðŸ’•ðŸ™ˆ  #shorts #humor #tiktokvideo #comedia #funny #fyp</t>
  </si>
  <si>
    <t>https://www.youtube.com/shorts/KLudTIbwfhs</t>
  </si>
  <si>
    <t>JT9_eJ9cg4g</t>
  </si>
  <si>
    <t>Tortino di zucchine cremosissimo ðŸ’š #shorts</t>
  </si>
  <si>
    <t>Giallozafferano recipes</t>
  </si>
  <si>
    <t>https://www.youtube.com/shorts/JT9_eJ9cg4g</t>
  </si>
  <si>
    <t>M-dv7HQq-TI</t>
  </si>
  <si>
    <t>Was war in diesem Geschenk drin? ðŸ’€ #shorts</t>
  </si>
  <si>
    <t>https://www.youtube.com/shorts/M-dv7HQq-TI</t>
  </si>
  <si>
    <t>bRPQONIXNUg</t>
  </si>
  <si>
    <t>Mansi ka dant ðŸ¦· Tut Gaya #shorts #youtubeshorts #maa</t>
  </si>
  <si>
    <t>https://www.youtube.com/shorts/bRPQONIXNUg</t>
  </si>
  <si>
    <t>0KSchz85iAE</t>
  </si>
  <si>
    <t>Quando hai un fratello troppo protettivo ðŸ˜“ðŸ˜‚ #shorts #short</t>
  </si>
  <si>
    <t>https://www.youtube.com/shorts/0KSchz85iAE</t>
  </si>
  <si>
    <t>frhwo1R9ceo</t>
  </si>
  <si>
    <t>My Strong IdliðŸ¤£ðŸ¤£ #maithilisreetan #comedy #funny #shorts #ytshorts #viral</t>
  </si>
  <si>
    <t>https://www.youtube.com/shorts/frhwo1R9ceo</t>
  </si>
  <si>
    <t>FP0dWzllrCQ</t>
  </si>
  <si>
    <t>à®‡à®µà®©à¯ à®¤à®¾à®©à¯ à®…à®¨à¯à®¤ à®…à®°à®•à¯à®•à®©à¯..!  #shorts #vilathikulam #harassmentcase</t>
  </si>
  <si>
    <t>Polimer News</t>
  </si>
  <si>
    <t>https://www.youtube.com/shorts/FP0dWzllrCQ</t>
  </si>
  <si>
    <t>QVclecyzfgs</t>
  </si>
  <si>
    <t>That one Chappal Chor in the houseðŸ¥°ðŸ©´ | Raj Grover | #shorts</t>
  </si>
  <si>
    <t>https://www.youtube.com/shorts/QVclecyzfgs</t>
  </si>
  <si>
    <t>nNYWd_2DL7A</t>
  </si>
  <si>
    <t>Ela transformou mel barato em lembrancinhas de luxo ðŸ˜³ðŸ¯ #shorts</t>
  </si>
  <si>
    <t>CadÃª o Shorts?</t>
  </si>
  <si>
    <t>https://www.youtube.com/shorts/nNYWd_2DL7A</t>
  </si>
  <si>
    <t>N60r0A4mrxA</t>
  </si>
  <si>
    <t>Students in exam time ðŸ‘§ðŸ¼ðŸ“ #shorts #sejalgabashorts #ytshorts #schol</t>
  </si>
  <si>
    <t>https://www.youtube.com/shorts/N60r0A4mrxA</t>
  </si>
  <si>
    <t>fHJ8CG7eRs8</t>
  </si>
  <si>
    <t>Every class monitor ever ðŸ«ðŸ‘§ðŸ¼ #shorts #sejalgabashorts #school</t>
  </si>
  <si>
    <t>https://www.youtube.com/shorts/fHJ8CG7eRs8</t>
  </si>
  <si>
    <t>xRtevvc3oiQ</t>
  </si>
  <si>
    <t>Girls Will be Girls ðŸ‘§ðŸ˜‚ #shorts #teratrigun #girls</t>
  </si>
  <si>
    <t>https://www.youtube.com/shorts/xRtevvc3oiQ</t>
  </si>
  <si>
    <t>vEgAXMOjFQI</t>
  </si>
  <si>
    <t>You Can Find Your Dadâ€™s K!ller #funnyshorts #ytshorts #shorts</t>
  </si>
  <si>
    <t>THE BROWN SIBLINGS</t>
  </si>
  <si>
    <t>https://www.youtube.com/shorts/vEgAXMOjFQI</t>
  </si>
  <si>
    <t>ZMnqxHAdxss</t>
  </si>
  <si>
    <t>#SHORTS | MAMAH RERE JAJAN PERMEN BEBEK ðŸ¤£ðŸ¤£</t>
  </si>
  <si>
    <t>Mamah Rere Official</t>
  </si>
  <si>
    <t>https://www.youtube.com/shorts/ZMnqxHAdxss</t>
  </si>
  <si>
    <t>o_KwPKuluWo</t>
  </si>
  <si>
    <t>à®…à®Ÿà®ªà¯à®ªà®¾à®µà®¿ ðŸ˜³ Watermelon share à®ªà®£à¯à®£ à®šà¯Šà®©à¯à®©à®¾ à®¨à®Ÿà®¨à¯à®¤ comedy scene! #shorts #tamil #comedy</t>
  </si>
  <si>
    <t>https://www.youtube.com/shorts/o_KwPKuluWo</t>
  </si>
  <si>
    <t>lixk0_MXj_U</t>
  </si>
  <si>
    <t>A TANAJURA ðŸ‘ #shorts</t>
  </si>
  <si>
    <t>MINI GABYS</t>
  </si>
  <si>
    <t>https://www.youtube.com/shorts/lixk0_MXj_U</t>
  </si>
  <si>
    <t>EKdvYBOU7Sk</t>
  </si>
  <si>
    <t>Pvt School vs Govt. School ðŸ˜‚ðŸ« #shorts #ytshorts #teratrigun #comedy #funny #viral</t>
  </si>
  <si>
    <t>https://www.youtube.com/shorts/EKdvYBOU7Sk</t>
  </si>
  <si>
    <t>j7C2Gs-zTWw</t>
  </si>
  <si>
    <t>Different Types Of Scale #velujazz #shorts #school</t>
  </si>
  <si>
    <t>https://www.youtube.com/shorts/j7C2Gs-zTWw</t>
  </si>
  <si>
    <t>RS7KWqFNe8w</t>
  </si>
  <si>
    <t>Swimming pool mein pehli baar ðŸ˜… #Shorts #Viral #comedy</t>
  </si>
  <si>
    <t>https://www.youtube.com/shorts/RS7KWqFNe8w</t>
  </si>
  <si>
    <t>Ge2kTkjvKEM</t>
  </si>
  <si>
    <t>Â¿QuÃ© debemos hacer?ðŸ˜­ | Primeros Auxilios para niÃ±os #Pinkfong #Shorts #Seguridad</t>
  </si>
  <si>
    <t>Pinkfong en espaÃ±ol - Canciones Infantiles</t>
  </si>
  <si>
    <t>https://www.youtube.com/shorts/Ge2kTkjvKEM</t>
  </si>
  <si>
    <t>nZ1sVe_-hu8</t>
  </si>
  <si>
    <t>SEMUA DIKASIH CROMBOLONI SAMA BUNDA DIJAH #shorts</t>
  </si>
  <si>
    <t>HODIJAHMUTZ FAMILY</t>
  </si>
  <si>
    <t>https://www.youtube.com/shorts/nZ1sVe_-hu8</t>
  </si>
  <si>
    <t>Cu4g8maLoRI</t>
  </si>
  <si>
    <t>ANNA (à®…à®£à¯à®£à®¾) - à®¤à®¿à®™à¯à®•à®³à¯-à®šà®©à®¿, à®‡à®°à®µà¯ 8:30 à®®à®£à®¿à®•à¯à®•à¯ - Zee Tamil #shorts #youtubeshorts</t>
  </si>
  <si>
    <t>Zee Tamil</t>
  </si>
  <si>
    <t>https://www.youtube.com/shorts/Cu4g8maLoRI</t>
  </si>
  <si>
    <t>6FN-VspNwzY</t>
  </si>
  <si>
    <t>Peranbu (à®ªà¯‡à®°à®©à¯à®ªà¯) - Mon-Sat, 6.30 PM - Zee Tamil #shorts youtubeshorts</t>
  </si>
  <si>
    <t>https://www.youtube.com/shorts/6FN-VspNwzY</t>
  </si>
  <si>
    <t>9A6TBQleJLw</t>
  </si>
  <si>
    <t>When Your Girl Thinks You're Cheating #shorts</t>
  </si>
  <si>
    <t>Stevie Emerson</t>
  </si>
  <si>
    <t>https://www.youtube.com/shorts/9A6TBQleJLw</t>
  </si>
  <si>
    <t>mKxofV7UbqI</t>
  </si>
  <si>
    <t>Thik se kam karo ðŸ˜›ðŸ˜‚ Funny couple  #shorts #viral #comedy</t>
  </si>
  <si>
    <t xml:space="preserve">SNIGDHA SHORTS </t>
  </si>
  <si>
    <t>https://www.youtube.com/shorts/mKxofV7UbqI</t>
  </si>
  <si>
    <t>eBlWJZnu3Jo</t>
  </si>
  <si>
    <t>Meenakshi Ponnunga (à®®à¯€à®©à®¾à®Ÿà¯à®šà®¿ à®ªà¯Šà®£à¯à®£à¯à®™à¯à®•)- Mon-Sat, 9:30 PM - Zee Tamil #shorts youtubeshorts</t>
  </si>
  <si>
    <t>https://www.youtube.com/shorts/eBlWJZnu3Jo</t>
  </si>
  <si>
    <t>dF-mQLvDUmQ</t>
  </si>
  <si>
    <t>Meenakshi Ponnunga (à®®à¯€à®©à®¾à®Ÿà¯à®šà®¿ à®ªà¯Šà®£à¯à®£à¯à®™à¯à®•)- Mon-Sat, 9:30 PM - Zee Tamil #shorts #youtubeshorts</t>
  </si>
  <si>
    <t>https://www.youtube.com/shorts/dF-mQLvDUmQ</t>
  </si>
  <si>
    <t>d_G0zpIPpJo</t>
  </si>
  <si>
    <t>Brand New, Wonâ€™t Start!  #chickanic #shorts</t>
  </si>
  <si>
    <t>Chickanic</t>
  </si>
  <si>
    <t>https://www.youtube.com/shorts/d_G0zpIPpJo</t>
  </si>
  <si>
    <t>nikDYzBzvQ4</t>
  </si>
  <si>
    <t>Pink Chewing Gum for SimmiðŸ¥¶ðŸ¤£#shorts #comedy #funny #olidavines</t>
  </si>
  <si>
    <t>https://www.youtube.com/shorts/nikDYzBzvQ4</t>
  </si>
  <si>
    <t>oKe30soWy7g</t>
  </si>
  <si>
    <t>Ansh Ban Gaya Principal ka Pota ðŸ˜‚ #shorts #funny #school #ansh #sraoster</t>
  </si>
  <si>
    <t>Mr.Sraoster</t>
  </si>
  <si>
    <t>https://www.youtube.com/shorts/oKe30soWy7g</t>
  </si>
  <si>
    <t>az4To0y5DWM</t>
  </si>
  <si>
    <t>Karthigai Deepam (à®•à®¾à®°à¯à®¤à¯à®¤à®¿à®•à¯ˆ à®¤à¯€à®ªà®®à¯) - Mon-Sat, 9:00PM - Zee Tamil #shorts #youtubeshorts</t>
  </si>
  <si>
    <t>https://www.youtube.com/shorts/az4To0y5DWM</t>
  </si>
  <si>
    <t>wMWZ5RwCwrM</t>
  </si>
  <si>
    <t>When husband wife are in same school ðŸ« #shorts #sejalgabashorts #school #teacher</t>
  </si>
  <si>
    <t>https://www.youtube.com/shorts/wMWZ5RwCwrM</t>
  </si>
  <si>
    <t>590Z7HmG7xs</t>
  </si>
  <si>
    <t>Cutting &amp; cleaning Blush Stick Tutorial Pt1 #shorts #satisfying #DIY #lipstick #fyp #makeuprepair</t>
  </si>
  <si>
    <t>Satisfying Shorts</t>
  </si>
  <si>
    <t>https://www.youtube.com/shorts/590Z7HmG7xs</t>
  </si>
  <si>
    <t>Trik ngajarin anak ngomong huruf S. Praktekin langsung yaa.. #shorts #shortvideo #tipsparenting</t>
  </si>
  <si>
    <t>Rensia Sanvira Official</t>
  </si>
  <si>
    <t>https://www.youtube.com/shorts/-Dek1V1ulNw</t>
  </si>
  <si>
    <t>fRaoA4NK4mI</t>
  </si>
  <si>
    <t>Husband vs Wife /Hide &amp; Seek (Part2)#husbandwifefun #hideandseekfun #shorts #funny #familyfun</t>
  </si>
  <si>
    <t>Our Tiny World</t>
  </si>
  <si>
    <t>https://www.youtube.com/shorts/fRaoA4NK4mI</t>
  </si>
  <si>
    <t>_25ZiVISO0g</t>
  </si>
  <si>
    <t>Me &amp; my daughter in Future ðŸ‘§ðŸ¼ #shorts #sejalgabashorts  #ytshorts</t>
  </si>
  <si>
    <t>https://www.youtube.com/shorts/_25ZiVISO0g</t>
  </si>
  <si>
    <t>acvkiSoN7yQ</t>
  </si>
  <si>
    <t>Un momento embarazoso, pero tambiÃ©n muy hermoso â¤ï¸ #shorts</t>
  </si>
  <si>
    <t>DoctorÂ Shorts</t>
  </si>
  <si>
    <t>https://www.youtube.com/shorts/acvkiSoN7yQ</t>
  </si>
  <si>
    <t>Ib1iejWp2vo</t>
  </si>
  <si>
    <t>Questa sfida Ã¨ impossibileâ€¦. #shorts</t>
  </si>
  <si>
    <t>NeverZerooM</t>
  </si>
  <si>
    <t>https://www.youtube.com/shorts/Ib1iejWp2vo</t>
  </si>
  <si>
    <t>aJ4GZuXyfFs</t>
  </si>
  <si>
    <t>"Ci fai un Kit uguale Blu" ðŸ¥°ðŸ’™ #newmartina #kitcompleto #shortsyoutube #shorts #iphone16</t>
  </si>
  <si>
    <t>New Martina</t>
  </si>
  <si>
    <t>https://www.youtube.com/shorts/aJ4GZuXyfFs</t>
  </si>
  <si>
    <t>2BoLHMGoTw4</t>
  </si>
  <si>
    <t>Dieser Airsoft Kunde schieÃŸt den Vogel ab ðŸ˜‚ @AirsoftHeldenYT  #airsoft #airsoftshorts  #shorts</t>
  </si>
  <si>
    <t>Airsoft_Dudes</t>
  </si>
  <si>
    <t>https://www.youtube.com/shorts/2BoLHMGoTw4</t>
  </si>
  <si>
    <t>3IMIZOAzO8o</t>
  </si>
  <si>
    <t>Rudra pen ðŸ–‹ðŸ–Š Chori kar liya ðŸ˜± #shorts #school #trending #funnyvideo</t>
  </si>
  <si>
    <t>https://www.youtube.com/shorts/3IMIZOAzO8o</t>
  </si>
  <si>
    <t>VdiLasAiAGk</t>
  </si>
  <si>
    <t>Quando ordina sempre le stesse cose ðŸ‘Œ #shorts #youtubeshorts #viral#trending#shortsfeed #fuorishorts</t>
  </si>
  <si>
    <t xml:space="preserve">Fuori Shorts </t>
  </si>
  <si>
    <t>https://www.youtube.com/shorts/VdiLasAiAGk</t>
  </si>
  <si>
    <t>NwKOSS7gYLU</t>
  </si>
  <si>
    <t>Didi Vs Jasoos Aunty! S26 ultra #shorts</t>
  </si>
  <si>
    <t>Shreemani Tripathi</t>
  </si>
  <si>
    <t>https://www.youtube.com/shorts/NwKOSS7gYLU</t>
  </si>
  <si>
    <t>mewvPJ_TA5I</t>
  </si>
  <si>
    <t>Makan Permen unik dan lucu #shorts #short #food #permen</t>
  </si>
  <si>
    <t>JOVANKA MUKBANG</t>
  </si>
  <si>
    <t>https://www.youtube.com/shorts/mewvPJ_TA5I</t>
  </si>
  <si>
    <t>KYJg2RJIt68</t>
  </si>
  <si>
    <t>6 jÃ¤hrige hat kein Benehmen #shorts</t>
  </si>
  <si>
    <t>Thieniboy</t>
  </si>
  <si>
    <t>https://www.youtube.com/shorts/KYJg2RJIt68</t>
  </si>
  <si>
    <t>oHLQIPquJh0</t>
  </si>
  <si>
    <t>ICH BIN KEIN CLEANGIRL ðŸ˜± #cleangirl #aesthetic #explore #shorts #beauty #makeup #skincare</t>
  </si>
  <si>
    <t>https://www.youtube.com/shorts/oHLQIPquJh0</t>
  </si>
  <si>
    <t>77pG4GYq1qw</t>
  </si>
  <si>
    <t>Mansi ne Rudra ke liye maggi ðŸ banai #shorts #maggi #bhai #love</t>
  </si>
  <si>
    <t>https://www.youtube.com/shorts/77pG4GYq1qw</t>
  </si>
  <si>
    <t>XuoG8urkKXE</t>
  </si>
  <si>
    <t>Se dio cuenta del error demasiado tarde #shorts</t>
  </si>
  <si>
    <t>Tus animales</t>
  </si>
  <si>
    <t>https://www.youtube.com/shorts/XuoG8urkKXE</t>
  </si>
  <si>
    <t>3spNHFwbXtw</t>
  </si>
  <si>
    <t>Wait for itâ€¦ #funny #couple #love #shorts #short #prank #relationship #relatable #school</t>
  </si>
  <si>
    <t>https://www.youtube.com/shorts/3spNHFwbXtw</t>
  </si>
  <si>
    <t>nHIPB3mC7DA</t>
  </si>
  <si>
    <t>https://www.youtube.com/shorts/nHIPB3mC7DA</t>
  </si>
  <si>
    <t>XNk2C-vVlV0</t>
  </si>
  <si>
    <t>ðŸŒ€ðŸŒ€Cylinder gas | petrolâ›½ï¸ | ï¿¼#shorts #funny #comedy #family #sister</t>
  </si>
  <si>
    <t>Naresh Kuruvilla</t>
  </si>
  <si>
    <t>https://www.youtube.com/shorts/XNk2C-vVlV0</t>
  </si>
  <si>
    <t>iqpI7C0GStA</t>
  </si>
  <si>
    <t>Action einkaufen mit Mina ðŸ˜³ #canselguel #shorts</t>
  </si>
  <si>
    <t>Canselguel</t>
  </si>
  <si>
    <t>https://www.youtube.com/shorts/iqpI7C0GStA</t>
  </si>
  <si>
    <t>8Chd2whH2hM</t>
  </si>
  <si>
    <t>Every Indian woman ðŸ¤£ #shorts #comedyvideos #ytshorts</t>
  </si>
  <si>
    <t>https://www.youtube.com/shorts/8Chd2whH2hM</t>
  </si>
  <si>
    <t>p2BBhFC0Px4</t>
  </si>
  <si>
    <t>mindig vissza fog jÃ¶nni.... #shorts #magyar</t>
  </si>
  <si>
    <t>Patriks</t>
  </si>
  <si>
    <t>https://www.youtube.com/shorts/p2BBhFC0Px4</t>
  </si>
  <si>
    <t>MTl8EoQCSWI</t>
  </si>
  <si>
    <t>Una chica se dibujÃ³ a sÃ­ misma de forma perfecta #shorts</t>
  </si>
  <si>
    <t>ARDEL</t>
  </si>
  <si>
    <t>https://www.youtube.com/shorts/MTl8EoQCSWI</t>
  </si>
  <si>
    <t>wYqpvheEsE4</t>
  </si>
  <si>
    <t>ðŸ˜…à°²à±‹à°•à°¿ over loveðŸ¤£#viral #comedy #minivlog #trending #shortvideo #funny #shorts#youtubeshorts#family</t>
  </si>
  <si>
    <t>https://www.youtube.com/shorts/wYqpvheEsE4</t>
  </si>
  <si>
    <t>UNI3ss9jZuc</t>
  </si>
  <si>
    <t>Was wÃ¤r bei euch auf der 1? ðŸ¤”ðŸ˜‚ #shorts #lidiro</t>
  </si>
  <si>
    <t>https://www.youtube.com/shorts/UNI3ss9jZuc</t>
  </si>
  <si>
    <t>eaz9qwPKNGQ</t>
  </si>
  <si>
    <t>CUMA RAISHA YANG BOLEH TIDUR DIKAMAR BER AC #shorts</t>
  </si>
  <si>
    <t>https://www.youtube.com/shorts/eaz9qwPKNGQ</t>
  </si>
  <si>
    <t>ZCMajnGjrQ8</t>
  </si>
  <si>
    <t>Daily Ice cream Scam ðŸ˜­ #shorts #relatable #icecream</t>
  </si>
  <si>
    <t>https://www.youtube.com/shorts/ZCMajnGjrQ8</t>
  </si>
  <si>
    <t>_G7GLLpL2Ls</t>
  </si>
  <si>
    <t>Pregnancy ðŸ˜â¤ï¸SpecialðŸ˜ðŸ¥° #shorts #youtubeshorts</t>
  </si>
  <si>
    <t>https://www.youtube.com/shorts/_G7GLLpL2Ls</t>
  </si>
  <si>
    <t>-078Qha-UsI</t>
  </si>
  <si>
    <t>Mansi ko GrapesðŸ‡ khane hai #shorts #funny #prank #games</t>
  </si>
  <si>
    <t>https://www.youtube.com/shorts/-078Qha-UsI</t>
  </si>
  <si>
    <t>Arnv7d0v5Vc</t>
  </si>
  <si>
    <t>When teacher is your dushman ðŸ˜‚ #shorts #viral #explorepage #relatable #school</t>
  </si>
  <si>
    <t>https://www.youtube.com/shorts/Arnv7d0v5Vc</t>
  </si>
  <si>
    <t>MNQlYXLJbX0</t>
  </si>
  <si>
    <t>Man hat GeschwisterðŸ¤¯ðŸ˜‚ | Lewinray #shorts</t>
  </si>
  <si>
    <t>Lewinray</t>
  </si>
  <si>
    <t>https://www.youtube.com/shorts/MNQlYXLJbX0</t>
  </si>
  <si>
    <t>Row Labels</t>
  </si>
  <si>
    <t>(blank)</t>
  </si>
  <si>
    <t>Grand Total</t>
  </si>
  <si>
    <t>Average of Views</t>
  </si>
  <si>
    <t>Average of Likes</t>
  </si>
  <si>
    <t>Average of Comments</t>
  </si>
  <si>
    <t>Average of Age_In_Days</t>
  </si>
  <si>
    <t>Max of Engagement_Rate_%</t>
  </si>
  <si>
    <t xml:space="preserve">According to the data, the highest average views and likes are registered in Sierra and Rhea FAM, which implies that the </t>
  </si>
  <si>
    <t>to the active interaction.</t>
  </si>
  <si>
    <t xml:space="preserve">number of comments or engagement rate, which indicates that the content is not as appealing to the audience compared </t>
  </si>
  <si>
    <t xml:space="preserve">content has a good reach and visibility level among the audiences. Nevertheless, it does not get the maximum average </t>
  </si>
  <si>
    <t>This implies that viewers can be passive (when liking) and not active (when commenting). It is also indicative that</t>
  </si>
  <si>
    <t xml:space="preserve"> increased reach may not always result in the increased audience engagement.</t>
  </si>
  <si>
    <t xml:space="preserve">The largest average number of comments is recorded in Artcoaster. This can point to the fact that the content is more </t>
  </si>
  <si>
    <t xml:space="preserve">interactive of the audience, perhaps opinion-based or discussion-focused content. The increased number of comments </t>
  </si>
  <si>
    <t>as compared to likes indicate that the viewers are more likely to react and give opinions.</t>
  </si>
  <si>
    <t>Poonia Boutique has the highest engagement rate maximum. Though possibly having relatively fewer views, the audience</t>
  </si>
  <si>
    <t xml:space="preserve"> seems to engage more in the content. This shows a good level of content involvement with fewer yet more engaged </t>
  </si>
  <si>
    <t>audience base.</t>
  </si>
  <si>
    <t>In general, this analysis demonstrates that channels have different performances patterns, some of them are geared</t>
  </si>
  <si>
    <t xml:space="preserve"> towards reach (views), others towards more active engagement with the audience (engagement), and that feature </t>
  </si>
  <si>
    <t>different content strategies and audience behavior</t>
  </si>
  <si>
    <t>From the given dataset:</t>
  </si>
  <si>
    <t>Highest Average Views- Sierra &amp; Rhia FAM</t>
  </si>
  <si>
    <t>Highest Average Likes- Sierra &amp; Rhia FAM</t>
  </si>
  <si>
    <t>Highest Average Comments- Artcoaste</t>
  </si>
  <si>
    <t xml:space="preserve">Max of Engagement Rate- Poonia Boutique </t>
  </si>
  <si>
    <t>Analysing the age of the video in days and the number of engagement rate:</t>
  </si>
  <si>
    <t xml:space="preserve">The above value signifies the correlation between the two variables. </t>
  </si>
  <si>
    <t xml:space="preserve">The correlation between engagement rate and the age of the video is negative, which indicates that the audience interaction </t>
  </si>
  <si>
    <t xml:space="preserve">is the most active in the nearest future after the publication, and it decreases in the long term, and this may be explained by </t>
  </si>
  <si>
    <t>the fact that the content loses its popularity.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</si>
</sst>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rgb="FFFF0000"/>
      <name val="Aptos Narrow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16" fillId="0" borderId="0" xfId="0" applyFont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6" fillId="33" borderId="0" xfId="0" applyFont="1" applyFill="1"/>
    <xf numFmtId="0" fontId="0" fillId="33" borderId="0" xfId="0" applyFill="1"/>
    <xf numFmtId="0" fontId="0" fillId="34" borderId="0" xfId="0" applyFill="1"/>
    <xf numFmtId="0" fontId="0" fillId="35" borderId="0" xfId="0" applyFill="1"/>
    <xf numFmtId="0" fontId="18" fillId="35" borderId="0" xfId="0" applyFont="1" applyFill="1" applyAlignment="1">
      <alignment horizontal="center"/>
    </xf>
    <xf numFmtId="0" fontId="16" fillId="35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rgam" refreshedDate="46108.682500115741" createdVersion="8" refreshedVersion="8" minRefreshableVersion="3" recordCount="800" xr:uid="{E822ED24-3091-4338-A7E3-5A5DF4AD9949}">
  <cacheSource type="worksheet">
    <worksheetSource ref="A1:K1048576" sheet="YouTube_Shorts_Engagement_and_G"/>
  </cacheSource>
  <cacheFields count="11">
    <cacheField name="Video_ID" numFmtId="0">
      <sharedItems containsBlank="1"/>
    </cacheField>
    <cacheField name="Title" numFmtId="0">
      <sharedItems containsBlank="1"/>
    </cacheField>
    <cacheField name="Channel_Name" numFmtId="0">
      <sharedItems containsBlank="1" count="552">
        <s v="Think Media"/>
        <s v="Stay Wild Reacts"/>
        <s v="Alex Christian"/>
        <s v="vidIQ"/>
        <s v="MoreAliA"/>
        <s v="Kellan Henneberry"/>
        <s v="Clouds "/>
        <s v="Joe Caine"/>
        <s v="TrieuHa Dang"/>
        <s v="Tyler Vitelli"/>
        <s v="Ollex"/>
        <s v="LOGAN E. SMITH"/>
        <s v="Jaxon Poulton"/>
        <s v="GoldLadyMaria"/>
        <s v="Kallmekris"/>
        <s v="PurpleStars02"/>
        <s v="Mrs.Contour"/>
        <s v="MANDO"/>
        <s v="Money Guy"/>
        <s v="Michelle Kennelly"/>
        <s v="INAFISH"/>
        <s v="D.C.â€™s Family"/>
        <s v="The McCartys"/>
        <s v="Rico Animations"/>
        <s v="Marshallese Sisters"/>
        <s v="Jezelle Catherine"/>
        <s v="Jonathan Joly"/>
        <s v="marrkadams"/>
        <s v="agset211"/>
        <s v="Sagawa /ã•ãŒã‚"/>
        <s v="brookecarolineb"/>
        <s v="The Mir Fam"/>
        <s v="Bianca Limon"/>
        <s v="Bugworkout"/>
        <s v="Candy Funhouse"/>
        <s v="JaiceNoir"/>
        <s v="THE DLA FAM "/>
        <s v="ElliotSimms"/>
        <s v="Alex Sampson"/>
        <s v="Isaac &amp; Andrea"/>
        <s v="Sejal Gaba"/>
        <s v="Lucknow Ride"/>
        <s v="KARAKTOYS"/>
        <s v="Zee TV"/>
        <s v="Play Nintendo"/>
        <s v="HAYATAKU ã¯ã‚„ãŸã"/>
        <s v="Classic TV"/>
        <s v="Hals"/>
        <s v="PrestonPlayz"/>
        <s v="GranaDy"/>
        <s v="Infinite"/>
        <s v="moneyboymax"/>
        <s v="Chuff Reacts"/>
        <s v="Moose Shorts"/>
        <s v="E'Calm"/>
        <s v="Glitch"/>
        <s v="Sierra and Rhia English"/>
        <s v="Flazefire"/>
        <s v="Rufus Goodboy"/>
        <s v="VITMI"/>
        <s v="Foltyn Reacts"/>
        <s v="warikoo"/>
        <s v="Jazi Studioz"/>
        <s v="Zee Telugu"/>
        <s v="Balarke"/>
        <s v="PrestonGamez"/>
        <s v="Deven Seenath"/>
        <s v="Venus Monee"/>
        <s v="Luke Davidson"/>
        <s v="Salish Luhv"/>
        <s v="ROCK SQUAD"/>
        <s v="Brooke Monk"/>
        <s v="Team Jesser"/>
        <s v="Triple Charm"/>
        <s v="SHAHLO GANIJONOVA"/>
        <s v="Abdullah Tariq Khan"/>
        <s v="caitlin iola "/>
        <s v="Yt Aman Tech"/>
        <s v="Mr Deepak k Facts"/>
        <s v="TECH ZOOMBO"/>
        <s v="Misti Happy Lifestyle Games &amp; Shorts"/>
        <s v="Koray Zeynep"/>
        <s v="Poonia  Boutique"/>
        <s v="VIP Files"/>
        <s v="Dheeraj Mehra"/>
        <s v="BETER BÃ–CÃœK"/>
        <s v="RunnyIA"/>
        <s v="Fear Vivi"/>
        <s v="Diya Ishwarya"/>
        <s v="Trending now"/>
        <s v="MAGNETFILM"/>
        <s v="Jun Jun House"/>
        <s v="KAGOJ"/>
        <s v="H&amp;T Official"/>
        <s v="The Savannah Bananas"/>
        <s v="MatiFamily Officiel"/>
        <s v="7-ElevenZ"/>
        <s v="Spreading Gyan"/>
        <s v="SEC Shorts"/>
        <s v="Ali-A"/>
        <s v="Ryvahn"/>
        <s v="FutbolEssence"/>
        <s v="janisjanis01"/>
        <s v="Tom Powell Jr"/>
        <s v="Skyworld Animation Studio"/>
        <s v="Wondering Minds"/>
        <s v="mmmjoemele"/>
        <s v="Be Prepared"/>
        <s v="RankReactor"/>
        <s v="Grow in tube"/>
        <s v="Mr Tech Saurabh"/>
        <s v="ðŠð«ð¢ð¬ð¡ð§ðšð€ð¯ð²ð® ð„ð§ð­ðžð«ð­ðšð¢ð§ð¦ðžð§ð­"/>
        <s v="Baxter and Friends"/>
        <s v="LiDiRo Reagiert"/>
        <s v="Tech Aakash Help"/>
        <s v="Jack Craig"/>
        <s v="Alexandra Robinson"/>
        <s v="MoreAliA Top Videos"/>
        <s v="Arika's World"/>
        <s v="Abhi Rathore"/>
        <s v="Meowia"/>
        <s v="Su Hao"/>
        <s v="Scary Teacher Family short"/>
        <s v="Wackawackamunv2"/>
        <s v="Allari Aarathi"/>
        <s v="Real Parwej"/>
        <s v="Technical Yogi"/>
        <s v="Comedy United"/>
        <s v="Slayy Point"/>
        <s v="Animal HT"/>
        <s v="Arvind zone"/>
        <s v="Shorts Comps"/>
        <s v="ACMofficial"/>
        <s v="Entertainment Tonight"/>
        <s v="Yeap!"/>
        <s v="LAUGH OUT LOUD"/>
        <s v="New TikTok"/>
        <s v="Animals 3D"/>
        <s v="Nkcomedystar01"/>
        <s v="Raj Grover"/>
        <s v="Riekus1"/>
        <s v="CamView With IFRAZ"/>
        <s v="Funny Smile"/>
        <s v="Ryncesryana"/>
        <s v="Entertaaining Tuber"/>
        <s v="Velujazz official"/>
        <s v="tech sujeet"/>
        <s v="Worldwide Records Bhojpuri"/>
        <s v="Varsha Dsouza"/>
        <s v="The Rush Fam"/>
        <s v="Prashant's Show"/>
        <s v="Celeb Culture"/>
        <s v="With Love Nagaraj Sangeetha"/>
        <s v="Dannika"/>
        <s v="BONAMUR OFFICIAL "/>
        <s v="Candy Superstar"/>
        <s v="Brawl Spider Rank"/>
        <s v="Creatie"/>
        <s v="Vlad and Niki"/>
        <s v="Prince GrowYT"/>
        <s v="Dhiranjan Raj 2.0"/>
        <s v="Imperator"/>
        <s v="FLife TV"/>
        <s v="Ð“Ð›Ð•ÐÐ¢"/>
        <s v="RUNKI REAL LIFE"/>
        <s v="MY FAMILY"/>
        <s v="Froggy"/>
        <s v="Rhia Official"/>
        <s v="Mrbike Global "/>
        <s v="Edits Tv"/>
        <s v="Susanto Gouw"/>
        <s v="101 FAKT"/>
        <s v="Tamim Bhai Here"/>
        <s v="Technical talk with me"/>
        <s v="Greyâ€™s World"/>
        <s v="Sierra &amp; Rhia FAM"/>
        <s v="Boop Roblox"/>
        <s v="nalishxwonder"/>
        <s v="Kim&amp;Liz Too"/>
        <s v="Katieâ€™s Nails "/>
        <s v="Derrick Byron"/>
        <s v="The Hayeks"/>
        <s v="Parker Seidel"/>
        <s v="depeet"/>
        <s v="Greed_Ghost"/>
        <s v="Filaretiki"/>
        <s v="Yoeslan"/>
        <s v="Noel Robinson"/>
        <s v="Rv Factos"/>
        <s v="Manish Kharage"/>
        <s v="Days With Mona"/>
        <s v="Standby TV"/>
        <s v="Blogger_Girls "/>
        <s v="jacobweeby"/>
        <s v="Cocomelon - Nursery Rhymes"/>
        <s v="ZoeTube"/>
        <s v="Ethobot"/>
        <s v="Kings of Horror"/>
        <s v="Praveen Pranav"/>
        <s v="Story Arc Paws"/>
        <s v="MaybeHeilly"/>
        <s v="Avenu Animations"/>
        <s v="AR art and craft"/>
        <s v="Creator Junction"/>
        <s v="Los Angeles Rams"/>
        <s v="Ismart kavitha "/>
        <s v="Shepm oilasi"/>
        <s v="ockeydockey"/>
        <s v="Unique Daily"/>
        <s v="Baccha Mat Bolna"/>
        <s v="Suraj Priti Official"/>
        <s v="Eira Doll"/>
        <s v="Oneway Ben"/>
        <s v="EsKrim IceCream"/>
        <s v="Shahboz Sattorov"/>
        <s v="Spreading Gyan Extra"/>
        <s v="PR PRESENTS"/>
        <s v="The BN Family"/>
        <s v="Gotcha! Yes Hindi"/>
        <s v="Justice Buys"/>
        <s v="TwinCoconuts"/>
        <s v="Greg Scarnici"/>
        <s v="Zee Bangla"/>
        <s v="Crazy Dwani For You"/>
        <s v="Guma Cook"/>
        <s v="Red Pix Short films"/>
        <s v="972film"/>
        <s v="MUKBANG Food"/>
        <s v="Aznlytics"/>
        <s v="Polish Surprise Eggs"/>
        <s v="Sirf Shreyansh"/>
        <s v="Junglee Film Club"/>
        <s v="MOVIEHOLIC"/>
        <s v="CowboyTV"/>
        <s v="SRS Media Vision | Kannada Full Movies"/>
        <s v="SriBalajiMovies"/>
        <s v="Vida Propia"/>
        <s v="BIPS MEDIA PVT. LTD."/>
        <s v="Khwahish Gal"/>
        <s v="Pen Movies"/>
        <s v="HiTechEntertainment"/>
        <s v="WARSAW FILM SCHOOL"/>
        <s v="ANYA KOVA"/>
        <s v="Jordan Matter"/>
        <s v="Papawskidibip"/>
        <s v="DecodingYT"/>
        <s v="Courtney &amp; Alex "/>
        <s v="Julee Cook"/>
        <s v="NickandCarrie"/>
        <s v="House of Highlights"/>
        <s v="Sabse Bada Maker"/>
        <s v="Bailey Spinn"/>
        <s v="Village Vlogs 795"/>
        <s v="Doughtoli"/>
        <s v="Nintendo of America"/>
        <s v="SG Funny Family"/>
        <s v="CATTYYI"/>
        <s v="Shooteo"/>
        <s v="Chattambees"/>
        <s v="Uttarakhandi Funny Couple"/>
        <s v="Gabriela Flores Villar"/>
        <s v="Tiki Hena Vlogs"/>
        <s v="Garg Motivation"/>
        <s v="Hayat world"/>
        <s v="Animal Bunch"/>
        <s v="Sharmila George"/>
        <s v="Samayra Narula Official"/>
        <s v="JUSTJULESðŸ’–"/>
        <s v="Sona Singh"/>
        <s v="ON CAMERA"/>
        <s v="Monika Prabhu"/>
        <s v="Kratika Moyal"/>
        <s v="KL BRO Biju Rithvik"/>
        <s v="Mallu Techy Girl"/>
        <s v="Asli Mona Official"/>
        <s v="The CAN Family"/>
        <s v="Nalish"/>
        <s v="LittleGlove"/>
        <s v="Raspberry and Me "/>
        <s v="Carlos Reig"/>
        <s v="Lottie Weaver"/>
        <s v="Eat Good Local"/>
        <s v="AMMU TIMES"/>
        <s v="OLIDA  Vlogs and Vines"/>
        <s v="Mini Box Shorts"/>
        <s v="Mariah and Bill"/>
        <s v="Mr DegrEE"/>
        <s v="Ubed Sk"/>
        <s v="skyyjade"/>
        <s v="Nisha Noelle"/>
        <s v="Crafty Akanksha"/>
        <s v="Linh Nhi Shorts"/>
        <s v="dee_forever_minis"/>
        <s v="ABC"/>
        <s v="Agbaps Shorts"/>
        <s v="API Malayalam Movies"/>
        <s v="Punjab Movie "/>
        <s v="Luc Boulch"/>
        <s v="Grow With Kaz"/>
        <s v="CuroTeck"/>
        <s v="Goodblush"/>
        <s v="Mileya27"/>
        <s v="Team2Moms"/>
        <s v="ISSEI / ã„ã£ã›ã„"/>
        <s v="Sanjay Rai"/>
        <s v="Shorts Break"/>
        <s v="Crazy World Ideas"/>
        <s v="Shan khan"/>
        <s v="Zidaan Shahid Aly"/>
        <s v="Kate Brush"/>
        <s v="rjkarishma"/>
        <s v="Foltyn Reacts Top Videos"/>
        <s v="TheJTCouple"/>
        <s v="Grow YT"/>
        <s v="Kaki Mayhall"/>
        <s v="Daft Spunky"/>
        <s v="THE CATALYST RIDER PANKAJ"/>
        <s v="Kamran Facts"/>
        <s v="Alam 321k"/>
        <s v="Cadel and Mia"/>
        <s v="Scarlett and Tiania"/>
        <s v="The Khios Family"/>
        <s v="OTTA KASU"/>
        <s v="Son And Dad"/>
        <s v="StarSpotlight"/>
        <s v="PinkNews"/>
        <s v="Krishna Avyu"/>
        <s v="Hum 2 Hamare 2"/>
        <s v="ItsManaswini"/>
        <s v="Hmelkofm"/>
        <s v="AndreoBee"/>
        <s v="Toys and Colors"/>
        <s v="InstaTopVines"/>
        <s v="Bholenath parvati Official"/>
        <s v="The Advika Sharma"/>
        <s v="Tsuriki Show"/>
        <s v="Prabhat Gamer"/>
        <s v="etvteluguindia"/>
        <s v="Brat TV"/>
        <s v="OGG Toca Story"/>
        <s v="WONDERFULL CARTOON SS"/>
        <s v="VENDY YADUWANSHI"/>
        <s v="GT Mod"/>
        <s v="Box Of Vengeance"/>
        <s v="Pearle Maaney"/>
        <s v="Naveen Nigam Hit"/>
        <s v="Kriss&amp;Esme"/>
        <s v="CuRe êµ¬ëž˜"/>
        <s v="Jasmin and James"/>
        <s v="Artcoaster"/>
        <s v="Era of Sarah"/>
        <s v="Rage Wolf Studios"/>
        <s v="RealGrow"/>
        <s v="Aaryan Kelvin"/>
        <s v="Royal Magazine"/>
        <s v="Manisha Swami"/>
        <s v="BiBoBen Shorts"/>
        <s v="Kunjaatta Malu's World"/>
        <s v="Adarsh Solanki"/>
        <s v="Sonam Dhamija"/>
        <s v="ALBUM CREATIONS"/>
        <s v="El TÃ­o NÃ©stor"/>
        <s v="The Luci Show by LIVING WITH LUCI "/>
        <s v="macysgrwm"/>
        <s v="Bhanu Chandar"/>
        <s v="Shraddha Manthena"/>
        <s v="Fun Factory 07"/>
        <s v="mahi sowji gardening and vlogs"/>
        <s v="EBB Super Star"/>
        <s v="Ophenya"/>
        <s v="prettysiya1M"/>
        <s v="Crazy Vlog"/>
        <s v="Artist_khushboo_"/>
        <s v="Shreya&amp;Shweta"/>
        <s v="Bunnyâ€™s World"/>
        <s v="MODELING "/>
        <s v="The Trench Family"/>
        <s v="Poonam's Cookery"/>
        <s v="Kopico_couple_official"/>
        <s v="TAMAL ART &amp; CRAFT"/>
        <s v="IT Maaz"/>
        <s v="shaheer jutt"/>
        <s v="Sydney Morgan"/>
        <s v="Mobxd Craft Shorts"/>
        <s v="Mona Sanwal"/>
        <s v="Untitled Joker"/>
        <s v="Varsha &amp; Aditya"/>
        <s v="Scene Wave"/>
        <s v="Jacqueline Woodwell"/>
        <s v="Toby"/>
        <s v="carson"/>
        <s v="ACTION PAPA SHOW"/>
        <s v="Prachin Pixel"/>
        <s v="feed meimei"/>
        <s v="Magsi Shorts"/>
        <s v="MOVIE PREDICTOR"/>
        <s v="Mildreamy ASMR"/>
        <s v="Life of Sammie &amp; Summer"/>
        <s v="Mr  Aloy  Tv"/>
        <s v="Dude Dans"/>
        <s v="RAHUL YOUTUBER"/>
        <s v="Tera Trigun"/>
        <s v="Jasper Boyz"/>
        <s v="Kritika Channel"/>
        <s v="GÃ¶zde AkgÃ¼n"/>
        <s v="Stevie Knows"/>
        <s v="TOBBAL SHORTS"/>
        <s v="Tollywood"/>
        <s v="Amaira gurjar vlogs"/>
        <s v="Trakin With Waseeb "/>
        <s v="Paintellectual PriyA"/>
        <s v="The Abhay Dynasty "/>
        <s v="Flyreen."/>
        <s v="Melli Art School"/>
        <s v="Enaldinho"/>
        <s v="Aesthetic club"/>
        <s v="Brotherofcolor"/>
        <s v="Radhika Maroo"/>
        <s v="zeroth"/>
        <s v="The BN Brothers"/>
        <s v="BANKII"/>
        <s v="Maithili_Sreetan"/>
        <s v="JUSTKASS"/>
        <s v="Love TikTok"/>
        <s v="Emu Sabbir"/>
        <s v="BAKA BAKA MX"/>
        <s v="Râ€¢Oâ€¢Sâ€¢Aâ€¢Lâ€¢Eâ€¢A "/>
        <s v="BB talks"/>
        <s v="radmiru"/>
        <s v="Budgetro Hub"/>
        <s v="Man City"/>
        <s v="Mr and Mrs Koranga "/>
        <s v="YT Biceps "/>
        <s v="Nikshri Vlogs"/>
        <s v="Inside Edition"/>
        <s v="Pop Teen TV"/>
        <s v="Swathi's FamJam"/>
        <s v="Taarak Mehta Ka Ooltah Chashmah"/>
        <s v="StarkMakeup"/>
        <s v="Sweets"/>
        <s v="Sonam Priya Shorts"/>
        <s v="AnimaciÃ³n Youtube"/>
        <s v="Matthewcraft"/>
        <s v="Nen e Nico"/>
        <s v="Bristi Home Kitchen"/>
        <s v="MiniFig Hunter"/>
        <s v="Sikha shorts and vlogs"/>
        <s v="The Thoughtful Girl"/>
        <s v="Mampi Roy"/>
        <s v="V5 Family Show"/>
        <s v="Britipta"/>
        <s v="Hamara Channel"/>
        <s v="HM media"/>
        <s v="Hanishka's world"/>
        <s v="Jagdish Comedian"/>
        <s v="Dora Family"/>
        <s v="claraminse"/>
        <s v="Jihan Shorts"/>
        <s v="Audio University"/>
        <s v="DatoSorpresa - Curiosidades"/>
        <s v="Patricia Herfort"/>
        <s v="Antonella Volpe"/>
        <s v="Mohi__07"/>
        <s v="Daily Dolly Vlogs"/>
        <s v="MC Lorenzo"/>
        <s v="Ranwa Family"/>
        <s v="Jenni MJ"/>
        <s v="Chahat Anand"/>
        <s v="LiDiRo"/>
        <s v="MatWolf16"/>
        <s v="IamSimplyMorgan"/>
        <s v="Freddy"/>
        <s v="Soundarya with Varshini - Telugu"/>
        <s v="Asif Dramaz"/>
        <s v="Mamiversum"/>
        <s v="eFootz BR"/>
        <s v="Newfangled with Prem"/>
        <s v="Mamiseelen"/>
        <s v="Fiza khan Spn "/>
        <s v="Rajesh Kumar Shorts 14"/>
        <s v="Sydney Smiles"/>
        <s v="Terysa"/>
        <s v="BÃ¡rbara Coura"/>
        <s v="StineundMarc"/>
        <s v="Maneesh Vishnu"/>
        <s v="TeAm STARS"/>
        <s v="Schliingeel"/>
        <s v="Osito Videos"/>
        <s v="MamÃ£e e Antonella"/>
        <s v="The Savage Siblings"/>
        <s v="Amandinha"/>
        <s v="Neetu Bisht"/>
        <s v="Dawood Khan"/>
        <s v="HMT short"/>
        <s v="Kiro Ebra"/>
        <s v="Mia Plumones"/>
        <s v="Karina &amp; Marina"/>
        <s v="SAMO MEDIA"/>
        <s v="Miss RR"/>
        <s v="Bheem ASMR"/>
        <s v="TRAY.TV."/>
        <s v="Meowrld"/>
        <s v="Harrish krish"/>
        <s v="Achyutha saddikuti"/>
        <s v="Ymuxdio"/>
        <s v="itsmeissie"/>
        <s v="The geeta gurjar"/>
        <s v="Hana Callista"/>
        <s v="Ghar ka khana vlog"/>
        <s v="VALENTINA SOBRINHO E FAMÃLIA"/>
        <s v="Juneed Entertainment"/>
        <s v="ShibaGO!"/>
        <s v="Ivanova BM"/>
        <s v="LIGHTS ARE OFF"/>
        <s v="AinzAnimation"/>
        <s v="chaaunhi "/>
        <s v="Popcornflix"/>
        <s v="Grayskitz"/>
        <s v="cinema speak"/>
        <s v="U Turns Creations"/>
        <s v="Diana &amp; Anton "/>
        <s v="Giallozafferano recipes"/>
        <s v="Polimer News"/>
        <s v="CadÃª o Shorts?"/>
        <s v="THE BROWN SIBLINGS"/>
        <s v="Mamah Rere Official"/>
        <s v="MINI GABYS"/>
        <s v="Pinkfong en espaÃ±ol - Canciones Infantiles"/>
        <s v="HODIJAHMUTZ FAMILY"/>
        <s v="Zee Tamil"/>
        <s v="Stevie Emerson"/>
        <s v="SNIGDHA SHORTS "/>
        <s v="Chickanic"/>
        <s v="Mr.Sraoster"/>
        <s v="Satisfying Shorts"/>
        <s v="Rensia Sanvira Official"/>
        <s v="Our Tiny World"/>
        <s v="DoctorÂ Shorts"/>
        <s v="NeverZerooM"/>
        <s v="New Martina"/>
        <s v="Airsoft_Dudes"/>
        <s v="Fuori Shorts "/>
        <s v="Shreemani Tripathi"/>
        <s v="JOVANKA MUKBANG"/>
        <s v="Thieniboy"/>
        <s v="Tus animales"/>
        <s v="Naresh Kuruvilla"/>
        <s v="Canselguel"/>
        <s v="Patriks"/>
        <s v="ARDEL"/>
        <s v="Lewinray"/>
        <m/>
      </sharedItems>
    </cacheField>
    <cacheField name="Views" numFmtId="0">
      <sharedItems containsString="0" containsBlank="1" containsNumber="1" containsInteger="1" minValue="303" maxValue="2138155337"/>
    </cacheField>
    <cacheField name="Likes" numFmtId="0">
      <sharedItems containsString="0" containsBlank="1" containsNumber="1" containsInteger="1" minValue="0" maxValue="22000000"/>
    </cacheField>
    <cacheField name="Comments" numFmtId="0">
      <sharedItems containsString="0" containsBlank="1" containsNumber="1" containsInteger="1" minValue="0" maxValue="317800"/>
    </cacheField>
    <cacheField name="Age_In_Days" numFmtId="0">
      <sharedItems containsString="0" containsBlank="1" containsNumber="1" containsInteger="1" minValue="1" maxValue="6728"/>
    </cacheField>
    <cacheField name="Engagement_Rate_%" numFmtId="0">
      <sharedItems containsString="0" containsBlank="1" containsNumber="1" minValue="0" maxValue="18.811900000000001"/>
    </cacheField>
    <cacheField name="Views_Per_Day" numFmtId="0">
      <sharedItems containsString="0" containsBlank="1" containsNumber="1" minValue="0.32" maxValue="7045530.3499999996"/>
    </cacheField>
    <cacheField name="Video_URL" numFmtId="0">
      <sharedItems containsBlank="1"/>
    </cacheField>
    <cacheField name="Description_Length" numFmtId="0">
      <sharedItems containsString="0" containsBlank="1" containsNumber="1" containsInteger="1" minValue="0" maxValue="499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00">
  <r>
    <s v="XcTzxw9JAnM"/>
    <s v="How YouTube Wants You to Make Shorts"/>
    <x v="0"/>
    <n v="23945"/>
    <n v="862"/>
    <n v="120"/>
    <n v="201"/>
    <n v="4.1010999999999997"/>
    <n v="119.13"/>
    <s v="https://www.youtube.com/watch?v=XcTzxw9JAnM"/>
    <n v="4546"/>
  </r>
  <r>
    <s v="fKIqusb14E0"/>
    <s v="Most Viewed YouTube Shorts! *VIRAL*"/>
    <x v="1"/>
    <n v="16456884"/>
    <n v="129000"/>
    <n v="4863"/>
    <n v="342"/>
    <n v="0.81340000000000001"/>
    <n v="48119.54"/>
    <s v="https://www.youtube.com/watch?v=fKIqusb14E0"/>
    <n v="217"/>
  </r>
  <r>
    <s v="E_goHQxVmb4"/>
    <s v="How to Make Money with YouTube Shorts (Full Guide)"/>
    <x v="2"/>
    <n v="326589"/>
    <n v="10000"/>
    <n v="938"/>
    <n v="270"/>
    <n v="3.3492000000000002"/>
    <n v="1209.5899999999999"/>
    <s v="https://www.youtube.com/watch?v=E_goHQxVmb4"/>
    <n v="1505"/>
  </r>
  <r>
    <s v="1EAus8qZeyM"/>
    <s v="How to Make a YouTube Short - Complete Beginner Guide"/>
    <x v="3"/>
    <n v="1778131"/>
    <n v="25000"/>
    <n v="2261"/>
    <n v="989"/>
    <n v="1.5330999999999999"/>
    <n v="1797.91"/>
    <s v="https://www.youtube.com/watch?v=1EAus8qZeyM"/>
    <n v="1001"/>
  </r>
  <r>
    <s v="oCxrIij2iXo"/>
    <s v="*NEW* Worldâ€™s MOST Viewed YouTube Shorts!"/>
    <x v="4"/>
    <n v="1307628"/>
    <n v="7500"/>
    <n v="443"/>
    <n v="85"/>
    <n v="0.60740000000000005"/>
    <n v="15383.86"/>
    <s v="https://www.youtube.com/watch?v=oCxrIij2iXo"/>
    <n v="1253"/>
  </r>
  <r>
    <s v="OG8DriyG0xo"/>
    <s v="fastest way to hit $10k/mo with yt shorts (copy me)"/>
    <x v="5"/>
    <n v="32747"/>
    <n v="1700"/>
    <n v="254"/>
    <n v="30"/>
    <n v="5.9669999999999996"/>
    <n v="1091.57"/>
    <s v="https://www.youtube.com/watch?v=OG8DriyG0xo"/>
    <n v="697"/>
  </r>
  <r>
    <s v="aNxphBq2CnE"/>
    <s v="Roasting Cringe YouTube Shorts"/>
    <x v="6"/>
    <n v="2567471"/>
    <n v="17000"/>
    <n v="3176"/>
    <n v="349"/>
    <n v="0.78580000000000005"/>
    <n v="7356.65"/>
    <s v="https://www.youtube.com/watch?v=aNxphBq2CnE"/>
    <n v="581"/>
  </r>
  <r>
    <s v="Jw541jySrpU"/>
    <s v="Speedrunning 300 YT Shorts (Any% Brainrot WORLD RECORD) (real)"/>
    <x v="7"/>
    <n v="1535610"/>
    <n v="26000"/>
    <n v="1996"/>
    <n v="243"/>
    <n v="1.8230999999999999"/>
    <n v="6319.38"/>
    <s v="https://www.youtube.com/watch?v=Jw541jySrpU"/>
    <n v="1300"/>
  </r>
  <r>
    <s v="Xib-4U5k8_Y"/>
    <s v="#Youtube #funny #fyp #foryou #shorts"/>
    <x v="8"/>
    <n v="1224806"/>
    <n v="4700"/>
    <n v="335"/>
    <n v="188"/>
    <n v="0.41110000000000002"/>
    <n v="6514.93"/>
    <s v="https://www.youtube.com/watch?v=Xib-4U5k8_Y"/>
    <n v="0"/>
  </r>
  <r>
    <s v="XRT47Wgito8"/>
    <s v="200 Genius Secrets I Learned on YouTube Shorts!"/>
    <x v="4"/>
    <n v="1924221"/>
    <n v="17000"/>
    <n v="534"/>
    <n v="32"/>
    <n v="0.91120000000000001"/>
    <n v="60131.91"/>
    <s v="https://www.youtube.com/watch?v=XRT47Wgito8"/>
    <n v="1259"/>
  </r>
  <r>
    <s v="NRBVlE1x5lI"/>
    <s v="I hope she is happy #relatablestories #comedy #funnymemes"/>
    <x v="9"/>
    <n v="5144611"/>
    <n v="97000"/>
    <n v="9004"/>
    <n v="2"/>
    <n v="2.0605000000000002"/>
    <n v="2572305.5"/>
    <s v="https://www.youtube.com/shorts/NRBVlE1x5lI"/>
    <n v="241"/>
  </r>
  <r>
    <s v="suYyZfnrFIU"/>
    <s v="Genius Secrets I Learned on YouTube Shorts!"/>
    <x v="4"/>
    <n v="2089531"/>
    <n v="13000"/>
    <n v="625"/>
    <n v="88"/>
    <n v="0.65210000000000001"/>
    <n v="23744.67"/>
    <s v="https://www.youtube.com/watch?v=suYyZfnrFIU"/>
    <n v="1255"/>
  </r>
  <r>
    <s v="ygeCgN-SfE8"/>
    <s v="how i make $36,438/mo posting YouTube Shorts (using AI)"/>
    <x v="5"/>
    <n v="663739"/>
    <n v="35000"/>
    <n v="4417"/>
    <n v="140"/>
    <n v="5.9386000000000001"/>
    <n v="4740.99"/>
    <s v="https://www.youtube.com/watch?v=ygeCgN-SfE8"/>
    <n v="778"/>
  </r>
  <r>
    <s v="FEDE9Cidt3M"/>
    <s v="I Tried Copying Viral YouTube Shorts for 30 Days (Real Results)"/>
    <x v="10"/>
    <n v="216511"/>
    <n v="7900"/>
    <n v="548"/>
    <n v="127"/>
    <n v="3.9018999999999999"/>
    <n v="1704.81"/>
    <s v="https://www.youtube.com/watch?v=FEDE9Cidt3M"/>
    <n v="551"/>
  </r>
  <r>
    <s v="gEQ0BLyVJhY"/>
    <s v="How to make shorts that go viral every time"/>
    <x v="11"/>
    <n v="2222583"/>
    <n v="107000"/>
    <n v="9785"/>
    <n v="638"/>
    <n v="5.2545000000000002"/>
    <n v="3483.67"/>
    <s v="https://www.youtube.com/watch?v=gEQ0BLyVJhY"/>
    <n v="449"/>
  </r>
  <r>
    <s v="VDFl1JvRDEw"/>
    <s v="I Tried YouTube Shorts for 7 Days (complete beginner)"/>
    <x v="12"/>
    <n v="120121"/>
    <n v="4700"/>
    <n v="486"/>
    <n v="388"/>
    <n v="4.3173000000000004"/>
    <n v="309.58999999999997"/>
    <s v="https://www.youtube.com/watch?v=VDFl1JvRDEw"/>
    <n v="555"/>
  </r>
  <r>
    <s v="hAdTgqW1fPw"/>
    <s v="Ugly hot cheetos for Gold Lady  #youtubeshorts #hotcheeto #trending #shorts #viral"/>
    <x v="13"/>
    <n v="31313039"/>
    <n v="264000"/>
    <n v="210"/>
    <n v="585"/>
    <n v="0.84379999999999999"/>
    <n v="53526.559999999998"/>
    <s v="https://www.youtube.com/shorts/hAdTgqW1fPw"/>
    <n v="0"/>
  </r>
  <r>
    <s v="vDG2254Vj3c"/>
    <s v="When Parents SPELL In Front Of Kids #shorts"/>
    <x v="14"/>
    <n v="28277306"/>
    <n v="1800000"/>
    <n v="10508"/>
    <n v="1214"/>
    <n v="6.4027000000000003"/>
    <n v="23292.67"/>
    <s v="https://www.youtube.com/shorts/vDG2254Vj3c"/>
    <n v="0"/>
  </r>
  <r>
    <s v="5-rj4-Cs4Y4"/>
    <s v="â€œITS ALWAYS WARM RIGHT HEREâ€ ðŸ¥¹ðŸ©· #trending #popular #cute #tiktok #shorts #bff #sisters #happy"/>
    <x v="15"/>
    <n v="699633"/>
    <n v="7900"/>
    <n v="1114"/>
    <n v="2"/>
    <n v="1.2884"/>
    <n v="349816.5"/>
    <s v="https://www.youtube.com/shorts/5-rj4-Cs4Y4"/>
    <n v="0"/>
  </r>
  <r>
    <s v="Pz2YBSx2Sh0"/>
    <s v="Satisfying is an understatement ðŸ¤© #youtubeshorts #shorts #beauty #makeup #satisfying"/>
    <x v="16"/>
    <n v="20901861"/>
    <n v="227000"/>
    <n v="312"/>
    <n v="284"/>
    <n v="1.0874999999999999"/>
    <n v="73598.100000000006"/>
    <s v="https://www.youtube.com/shorts/Pz2YBSx2Sh0"/>
    <n v="0"/>
  </r>
  <r>
    <s v="FGmq1krsRwc"/>
    <s v="Youtube Shorts Comments Are Cooked..."/>
    <x v="17"/>
    <n v="1735956"/>
    <n v="45000"/>
    <n v="10732"/>
    <n v="352"/>
    <n v="3.2105000000000001"/>
    <n v="4931.6899999999996"/>
    <s v="https://www.youtube.com/watch?v=FGmq1krsRwc"/>
    <n v="15"/>
  </r>
  <r>
    <s v="5ODn8PFmPQg"/>
    <s v="How To Make Money with Youtube Shorts in 2026"/>
    <x v="18"/>
    <n v="52139"/>
    <n v="2400"/>
    <n v="232"/>
    <n v="41"/>
    <n v="5.048"/>
    <n v="1271.68"/>
    <s v="https://www.youtube.com/watch?v=5ODn8PFmPQg"/>
    <n v="1687"/>
  </r>
  <r>
    <s v="2jNdR_o7TGU"/>
    <s v="POV: your ex walks in with a new girlfriend ðŸ’” | #tiktok #shorts #foryou #fyp #michellekennelly #pov"/>
    <x v="19"/>
    <n v="88608345"/>
    <n v="0"/>
    <n v="10524"/>
    <n v="1289"/>
    <n v="1.1900000000000001E-2"/>
    <n v="68741.929999999993"/>
    <s v="https://www.youtube.com/shorts/2jNdR_o7TGU"/>
    <n v="0"/>
  </r>
  <r>
    <s v="IXx-lvDK2fo"/>
    <s v="You have thing called FINGER ðŸ’…ðŸ½ #fyp #viral #shorts #funny #relatable #school #trending"/>
    <x v="20"/>
    <n v="25894749"/>
    <n v="629000"/>
    <n v="6669"/>
    <n v="252"/>
    <n v="2.4548000000000001"/>
    <n v="102756.94"/>
    <s v="https://www.youtube.com/shorts/IXx-lvDK2fo"/>
    <n v="0"/>
  </r>
  <r>
    <s v="NvFtEDN6oLg"/>
    <s v="THATâ€™S MY ROOM!ðŸ˜  #shorts"/>
    <x v="21"/>
    <n v="41669466"/>
    <n v="333000"/>
    <n v="789"/>
    <n v="533"/>
    <n v="0.80100000000000005"/>
    <n v="78179.11"/>
    <s v="https://www.youtube.com/shorts/NvFtEDN6oLg"/>
    <n v="16"/>
  </r>
  <r>
    <s v="w8sB13HRwXc"/>
    <s v="Got choked out by my kid #shorts"/>
    <x v="22"/>
    <n v="42271640"/>
    <n v="548000"/>
    <n v="1099"/>
    <n v="1608"/>
    <n v="1.2989999999999999"/>
    <n v="26288.33"/>
    <s v="https://www.youtube.com/shorts/w8sB13HRwXc"/>
    <n v="0"/>
  </r>
  <r>
    <s v="sxmTTS4qros"/>
    <s v="Trying not to laugh! ðŸ¤£ðŸ¤£ (4k memes) #shorts.  click the blue Join button to support my animations"/>
    <x v="23"/>
    <n v="198654177"/>
    <n v="4500000"/>
    <n v="35801"/>
    <n v="1016"/>
    <n v="2.2833000000000001"/>
    <n v="195525.76000000001"/>
    <s v="https://www.youtube.com/shorts/sxmTTS4qros"/>
    <n v="437"/>
  </r>
  <r>
    <s v="nxUfX-s-mEc"/>
    <s v="Buying evening my sister touches at dollar tree #shopping #shoppinghaul #shoppingvideo #shorts"/>
    <x v="24"/>
    <n v="22963928"/>
    <n v="280000"/>
    <n v="583"/>
    <n v="228"/>
    <n v="1.2218"/>
    <n v="100718.98"/>
    <s v="https://www.youtube.com/shorts/nxUfX-s-mEc"/>
    <n v="0"/>
  </r>
  <r>
    <s v="OMOF6l8Radk"/>
    <s v="Making the PERFECT movie night ðŸ¿ #shorts"/>
    <x v="25"/>
    <n v="5083618"/>
    <n v="84000"/>
    <n v="367"/>
    <n v="204"/>
    <n v="1.6596"/>
    <n v="24919.7"/>
    <s v="https://www.youtube.com/shorts/OMOF6l8Radk"/>
    <n v="0"/>
  </r>
  <r>
    <s v="yqHhF-6sk5Q"/>
    <s v="My baby girl is a teenager ðŸŽ‰ #jonathanjoly #shorts #teenagers"/>
    <x v="26"/>
    <n v="8243576"/>
    <n v="116000"/>
    <n v="11897"/>
    <n v="189"/>
    <n v="1.5515000000000001"/>
    <n v="43616.800000000003"/>
    <s v="https://www.youtube.com/shorts/yqHhF-6sk5Q"/>
    <n v="0"/>
  </r>
  <r>
    <s v="J9NC5ZWYKgE"/>
    <s v="And thatâ€™s what you call Karmaâ€¦ðŸ˜ˆðŸ’€ #comedy #shorts ï¿¼"/>
    <x v="27"/>
    <n v="4203923"/>
    <n v="99000"/>
    <n v="1066"/>
    <n v="194"/>
    <n v="2.3803000000000001"/>
    <n v="21669.71"/>
    <s v="https://www.youtube.com/shorts/J9NC5ZWYKgE"/>
    <n v="0"/>
  </r>
  <r>
    <s v="-1Urg2OcLGk"/>
    <s v="Singing in the shower! ðŸš¿ #shorts #trending #viral #funny #fyp #video #viralvideos"/>
    <x v="28"/>
    <n v="1047438"/>
    <n v="7500"/>
    <n v="211"/>
    <n v="3"/>
    <n v="0.73619999999999997"/>
    <n v="349146"/>
    <s v="https://www.youtube.com/shorts/-1Urg2OcLGk"/>
    <n v="0"/>
  </r>
  <r>
    <s v="a2vJLW0ZkX0"/>
    <s v="Sagawa1gou funny video ðŸ˜‚ðŸ˜‚ðŸ˜‚ | SAGAWA Best Shorts 2022 #shorts"/>
    <x v="29"/>
    <n v="190515002"/>
    <n v="1600000"/>
    <n v="9872"/>
    <n v="1318"/>
    <n v="0.84499999999999997"/>
    <n v="144548.56"/>
    <s v="https://www.youtube.com/shorts/a2vJLW0ZkX0"/>
    <n v="0"/>
  </r>
  <r>
    <s v="RlSAFOFCQlE"/>
    <s v="POV: you forgot she has a tailâ€¦ (yogaÂ janelleÂ monae) #yoga #shorts #funny"/>
    <x v="30"/>
    <n v="141796"/>
    <n v="2200"/>
    <n v="34"/>
    <n v="3"/>
    <n v="1.5754999999999999"/>
    <n v="47265.33"/>
    <s v="https://www.youtube.com/shorts/RlSAFOFCQlE"/>
    <n v="130"/>
  </r>
  <r>
    <s v="RxMwhHzZvuU"/>
    <s v="WHERE DOES THE TIME GO?ðŸ¥¹ðŸ’ž #shorts #sisters #bestfriends"/>
    <x v="31"/>
    <n v="25967020"/>
    <n v="171000"/>
    <n v="0"/>
    <n v="509"/>
    <n v="0.65849999999999997"/>
    <n v="51015.76"/>
    <s v="https://www.youtube.com/shorts/RxMwhHzZvuU"/>
    <n v="0"/>
  </r>
  <r>
    <s v="fHJG5ahdrIg"/>
    <s v="#pov &quot;Attractive&quot; and&quot;unattractive&quot; are both treated differentlyâ€¦ #shorts #youtubeshorts"/>
    <x v="32"/>
    <n v="7842230"/>
    <n v="116000"/>
    <n v="941"/>
    <n v="635"/>
    <n v="1.4912000000000001"/>
    <n v="12349.97"/>
    <s v="https://www.youtube.com/shorts/fHJG5ahdrIg"/>
    <n v="0"/>
  </r>
  <r>
    <s v="Zjz_G84TxJM"/>
    <s v="Sport prank with girl! ðŸ˜‚ #shorts"/>
    <x v="33"/>
    <n v="69879126"/>
    <n v="529000"/>
    <n v="1417"/>
    <n v="1637"/>
    <n v="0.75900000000000001"/>
    <n v="42687.31"/>
    <s v="https://www.youtube.com/shorts/Zjz_G84TxJM"/>
    <n v="14"/>
  </r>
  <r>
    <s v="k3J4h7285hg"/>
    <s v="This was unexpected ðŸ˜© #jonathanjoly #shorts #daughter ï¿¼"/>
    <x v="26"/>
    <n v="18884172"/>
    <n v="122000"/>
    <n v="802"/>
    <n v="299"/>
    <n v="0.65029999999999999"/>
    <n v="63157.77"/>
    <s v="https://www.youtube.com/shorts/k3J4h7285hg"/>
    <n v="0"/>
  </r>
  <r>
    <s v="J0iIQ629N2c"/>
    <s v="Most Popular Candies Platter #shorts #short #asmr #platter #candy #nerds #starburst #candyfunhouse"/>
    <x v="34"/>
    <n v="106975443"/>
    <n v="1700000"/>
    <n v="5945"/>
    <n v="1012"/>
    <n v="1.5947"/>
    <n v="105706.96"/>
    <s v="https://www.youtube.com/shorts/J0iIQ629N2c"/>
    <n v="0"/>
  </r>
  <r>
    <s v="IyQp9VxvN9g"/>
    <s v="Sneaking Into Movies ðŸ¿ | Stranger Things S3E2 #Shorts"/>
    <x v="35"/>
    <n v="64356392"/>
    <n v="886000"/>
    <n v="2050"/>
    <n v="175"/>
    <n v="1.3798999999999999"/>
    <n v="367750.81"/>
    <s v="https://www.youtube.com/shorts/IyQp9VxvN9g"/>
    <n v="86"/>
  </r>
  <r>
    <s v="OE6JqTSbajE"/>
    <s v="RAINBOW HAIR TRANSFORMATION! #shorts #dlafam #londyn"/>
    <x v="36"/>
    <n v="5046698"/>
    <n v="65000"/>
    <n v="5117"/>
    <n v="163"/>
    <n v="1.3894"/>
    <n v="30961.34"/>
    <s v="https://www.youtube.com/shorts/OE6JqTSbajE"/>
    <n v="0"/>
  </r>
  <r>
    <s v="aKn7tPs_yaU"/>
    <s v="New Kids EMBARRASSING School Lunch ðŸ˜†ðŸ¤¡ #shorts #storytime #elliotsimms"/>
    <x v="37"/>
    <n v="749723"/>
    <n v="26000"/>
    <n v="376"/>
    <n v="3"/>
    <n v="3.5181"/>
    <n v="249907.67"/>
    <s v="https://www.youtube.com/shorts/aKn7tPs_yaU"/>
    <n v="0"/>
  </r>
  <r>
    <s v="XBDFfu7CGF4"/>
    <s v="Perks of being in the front row #shorts"/>
    <x v="38"/>
    <n v="14761306"/>
    <n v="452000"/>
    <n v="1042"/>
    <n v="186"/>
    <n v="3.0691000000000002"/>
    <n v="79361.86"/>
    <s v="https://www.youtube.com/shorts/XBDFfu7CGF4"/>
    <n v="0"/>
  </r>
  <r>
    <s v="SuhrwhAYH7o"/>
    <s v="I Tried Youtube Shorts for 30 Days (realistic results)"/>
    <x v="10"/>
    <n v="276240"/>
    <n v="8500"/>
    <n v="820"/>
    <n v="217"/>
    <n v="3.3738999999999999"/>
    <n v="1273"/>
    <s v="https://www.youtube.com/watch?v=SuhrwhAYH7o"/>
    <n v="388"/>
  </r>
  <r>
    <s v="v6FGCb69OYY"/>
    <s v="LOSER CANT USE THEIR PHONE FOR A WEEK!ðŸ˜¨ #shorts"/>
    <x v="39"/>
    <n v="2104605"/>
    <n v="18000"/>
    <n v="496"/>
    <n v="3"/>
    <n v="0.87880000000000003"/>
    <n v="701535"/>
    <s v="https://www.youtube.com/shorts/v6FGCb69OYY"/>
    <n v="517"/>
  </r>
  <r>
    <s v="IRYkf96Uy60"/>
    <s v="Short height wali ladki ka dukh ðŸ˜¢ #sejalgabashorts #shorts #funnyvideos"/>
    <x v="40"/>
    <n v="4186937"/>
    <n v="17000"/>
    <n v="417"/>
    <n v="145"/>
    <n v="0.41599999999999998"/>
    <n v="28875.43"/>
    <s v="https://www.youtube.com/watch?v=IRYkf96Uy60"/>
    <n v="39"/>
  </r>
  <r>
    <s v="1jih9UhJdYw"/>
    <s v="Compact SUV Cars Sale #secondhandcars #usedcars #lucknowcarbazar #shorts #lucknow"/>
    <x v="41"/>
    <n v="502"/>
    <n v="27"/>
    <n v="0"/>
    <n v="1"/>
    <n v="5.3784999999999998"/>
    <n v="502"/>
    <s v="https://www.youtube.com/watch?v=1jih9UhJdYw"/>
    <n v="0"/>
  </r>
  <r>
    <s v="gwuIOr8o1iE"/>
    <s v="Merakit Lego Biggest Dump Truck #diy #lego #shorts"/>
    <x v="42"/>
    <n v="503"/>
    <n v="5"/>
    <n v="0"/>
    <n v="1"/>
    <n v="0.99399999999999999"/>
    <n v="503"/>
    <s v="https://www.youtube.com/watch?v=gwuIOr8o1iE"/>
    <n v="0"/>
  </r>
  <r>
    <s v="AMjErE9OQ6A"/>
    <s v="#Lakshmi Niwas #Shorts #Zee TV #Entertainment #Drama"/>
    <x v="43"/>
    <n v="7032"/>
    <n v="233"/>
    <n v="0"/>
    <n v="1"/>
    <n v="3.3134000000000001"/>
    <n v="7032"/>
    <s v="https://www.youtube.com/watch?v=AMjErE9OQ6A"/>
    <n v="145"/>
  </r>
  <r>
    <s v="AqRgeiwiLhM"/>
    <s v="PIKMIN Short Movies - Occupational Hazards - Nintendo Switch"/>
    <x v="44"/>
    <n v="117684083"/>
    <n v="261000"/>
    <n v="0"/>
    <n v="1987"/>
    <n v="0.2218"/>
    <n v="59227.02"/>
    <s v="https://www.youtube.com/watch?v=AqRgeiwiLhM"/>
    <n v="435"/>
  </r>
  <r>
    <s v="PdgjSL0C4gk"/>
    <s v="HAYATAKU/ã¯ã‚„ãŸãFunny Shorts Videos-Hayataku TikTok Competition"/>
    <x v="45"/>
    <n v="15816081"/>
    <n v="51000"/>
    <n v="537"/>
    <n v="545"/>
    <n v="0.32590000000000002"/>
    <n v="29020.33"/>
    <s v="https://www.youtube.com/watch?v=PdgjSL0C4gk"/>
    <n v="188"/>
  </r>
  <r>
    <s v="Ch7DebZ18ZE"/>
    <s v="Milan juice | Charminar best street food | Classic Tv | #food #shorts"/>
    <x v="46"/>
    <n v="1502"/>
    <n v="68"/>
    <n v="2"/>
    <n v="1"/>
    <n v="4.6604999999999999"/>
    <n v="1502"/>
    <s v="https://www.youtube.com/watch?v=Ch7DebZ18ZE"/>
    <n v="398"/>
  </r>
  <r>
    <s v="tIHBCPINP2k"/>
    <s v="How I Edit Youtube Shorts That Go Viral Everytime"/>
    <x v="47"/>
    <n v="186764"/>
    <n v="9000"/>
    <n v="434"/>
    <n v="124"/>
    <n v="5.0513000000000003"/>
    <n v="1506.16"/>
    <s v="https://www.youtube.com/watch?v=tIHBCPINP2k"/>
    <n v="422"/>
  </r>
  <r>
    <s v="6XEQotGTlxk"/>
    <s v="How to make $$$ from Youtube Shorts Automation"/>
    <x v="10"/>
    <n v="318170"/>
    <n v="16000"/>
    <n v="942"/>
    <n v="131"/>
    <n v="5.3247999999999998"/>
    <n v="2428.7800000000002"/>
    <s v="https://www.youtube.com/watch?v=6XEQotGTlxk"/>
    <n v="1127"/>
  </r>
  <r>
    <s v="P7v04sNi_m4"/>
    <s v="How To UNFREEZE Your Shorts Channel FAST !"/>
    <x v="47"/>
    <n v="239717"/>
    <n v="12000"/>
    <n v="8492"/>
    <n v="358"/>
    <n v="8.5484000000000009"/>
    <n v="669.6"/>
    <s v="https://www.youtube.com/watch?v=P7v04sNi_m4"/>
    <n v="343"/>
  </r>
  <r>
    <s v="I9Tz_xvT6lA"/>
    <s v="World's *MOST* Viewed Minecraft Shorts! (VIRAL CLIPS)"/>
    <x v="48"/>
    <n v="3468466"/>
    <n v="36000"/>
    <n v="1212"/>
    <n v="242"/>
    <n v="1.0729"/>
    <n v="14332.5"/>
    <s v="https://www.youtube.com/watch?v=I9Tz_xvT6lA"/>
    <n v="712"/>
  </r>
  <r>
    <s v="mT8r__Hw5_c"/>
    <s v="These SPECIAL Weekly Shorts are Insanely Good!"/>
    <x v="49"/>
    <n v="24551"/>
    <n v="784"/>
    <n v="74"/>
    <n v="3"/>
    <n v="3.4948000000000001"/>
    <n v="8183.67"/>
    <s v="https://www.youtube.com/watch?v=mT8r__Hw5_c"/>
    <n v="721"/>
  </r>
  <r>
    <s v="nZhWIOOG3Ws"/>
    <s v="Worlds MOST Viewed YouTube Shorts! (VIRAL)"/>
    <x v="50"/>
    <n v="8716351"/>
    <n v="191000"/>
    <n v="7055"/>
    <n v="1635"/>
    <n v="2.2722000000000002"/>
    <n v="5331.1"/>
    <s v="https://www.youtube.com/watch?v=nZhWIOOG3Ws"/>
    <n v="457"/>
  </r>
  <r>
    <s v="OgOW48FAy34"/>
    <s v="how i make $10k+ a month with youtube shorts (full guide)"/>
    <x v="51"/>
    <n v="8527"/>
    <n v="568"/>
    <n v="136"/>
    <n v="5"/>
    <n v="8.2561"/>
    <n v="1705.4"/>
    <s v="https://www.youtube.com/watch?v=OgOW48FAy34"/>
    <n v="783"/>
  </r>
  <r>
    <s v="C6Z_nSHYP3U"/>
    <s v="Youtube Shorts That Are Actually Relatable"/>
    <x v="52"/>
    <n v="1201844"/>
    <n v="11000"/>
    <n v="593"/>
    <n v="286"/>
    <n v="0.96460000000000001"/>
    <n v="4202.25"/>
    <s v="https://www.youtube.com/watch?v=C6Z_nSHYP3U"/>
    <n v="4832"/>
  </r>
  <r>
    <s v="27XnIdWyqLs"/>
    <s v="Hamood Habibi Meme in Minecraft! #shorts"/>
    <x v="53"/>
    <n v="12011471"/>
    <n v="1300"/>
    <n v="52"/>
    <n v="1511"/>
    <n v="1.1299999999999999E-2"/>
    <n v="7949.35"/>
    <s v="https://www.youtube.com/watch?v=27XnIdWyqLs"/>
    <n v="343"/>
  </r>
  <r>
    <s v="srDpvEnGQg4"/>
    <s v="My $75K YouTube Shorts System - Full Course In 19 Minutes (Copy My 800M Views Strategy)"/>
    <x v="54"/>
    <n v="65873"/>
    <n v="3600"/>
    <n v="176"/>
    <n v="4"/>
    <n v="5.7321999999999997"/>
    <n v="16468.25"/>
    <s v="https://www.youtube.com/watch?v=srDpvEnGQg4"/>
    <n v="2539"/>
  </r>
  <r>
    <s v="0wb2BEZ6vIA"/>
    <s v="CRINGE ROBLOX SHORTS"/>
    <x v="55"/>
    <n v="2212450"/>
    <n v="38000"/>
    <n v="4807"/>
    <n v="553"/>
    <n v="1.9348000000000001"/>
    <n v="4000.81"/>
    <s v="https://www.youtube.com/watch?v=0wb2BEZ6vIA"/>
    <n v="383"/>
  </r>
  <r>
    <s v="ye7oyKkzOpo"/>
    <s v="Shopping with my Dad #shorts"/>
    <x v="56"/>
    <n v="12358071"/>
    <n v="17000"/>
    <n v="0"/>
    <n v="1060"/>
    <n v="0.1376"/>
    <n v="11658.56"/>
    <s v="https://www.youtube.com/watch?v=ye7oyKkzOpo"/>
    <n v="80"/>
  </r>
  <r>
    <s v="ZjIko5ZiDZ4"/>
    <s v="YouTube Shorts : Brain Drain"/>
    <x v="57"/>
    <n v="189619"/>
    <n v="20000"/>
    <n v="2207"/>
    <n v="17"/>
    <n v="11.711399999999999"/>
    <n v="11154.06"/>
    <s v="https://www.youtube.com/watch?v=ZjIko5ZiDZ4"/>
    <n v="341"/>
  </r>
  <r>
    <s v="NB6lnoyvX1k"/>
    <s v="Best Of The GERMAN German Shepherd! #germanshepherd #dogs #pets #shorts"/>
    <x v="58"/>
    <n v="1462083"/>
    <n v="16000"/>
    <n v="323"/>
    <n v="312"/>
    <n v="1.1164000000000001"/>
    <n v="4686.16"/>
    <s v="https://www.youtube.com/watch?v=NB6lnoyvX1k"/>
    <n v="170"/>
  </r>
  <r>
    <s v="4PWQwZjhQoQ"/>
    <s v="THE BEST SHORTS !! - COMPILATION"/>
    <x v="59"/>
    <n v="3861480"/>
    <n v="52000"/>
    <n v="2506"/>
    <n v="191"/>
    <n v="1.4115"/>
    <n v="20217.169999999998"/>
    <s v="https://www.youtube.com/watch?v=4PWQwZjhQoQ"/>
    <n v="23"/>
  </r>
  <r>
    <s v="lZI92CCSdf4"/>
    <s v="World's *MOST* Viewed YouTube Shorts!"/>
    <x v="60"/>
    <n v="3243279"/>
    <n v="37000"/>
    <n v="3051"/>
    <n v="280"/>
    <n v="1.2349000000000001"/>
    <n v="11583.14"/>
    <s v="https://www.youtube.com/watch?v=lZI92CCSdf4"/>
    <n v="1390"/>
  </r>
  <r>
    <s v="hfkt5dahPdc"/>
    <s v="Maruti vs Maruti - Kitni hain end main VALUE?! | Ankur Warikoo #shorts"/>
    <x v="61"/>
    <n v="16560"/>
    <n v="711"/>
    <n v="13"/>
    <n v="1"/>
    <n v="4.3719999999999999"/>
    <n v="16560"/>
    <s v="https://www.youtube.com/watch?v=hfkt5dahPdc"/>
    <n v="2929"/>
  </r>
  <r>
    <s v="QJfQfZpwydQ"/>
    <s v="How to Upload Shorts on YouTube the Right Way To Get More Views | SEO 2025"/>
    <x v="62"/>
    <n v="329890"/>
    <n v="17000"/>
    <n v="7319"/>
    <n v="417"/>
    <n v="7.3719000000000001"/>
    <n v="791.1"/>
    <s v="https://www.youtube.com/watch?v=QJfQfZpwydQ"/>
    <n v="1080"/>
  </r>
  <r>
    <s v="dSyDjopiU7I"/>
    <s v="#Meghasandesam #Shorts #Zee Telugu #Entertainment #Drama"/>
    <x v="63"/>
    <n v="4095"/>
    <n v="110"/>
    <n v="0"/>
    <n v="1"/>
    <n v="2.6861999999999999"/>
    <n v="4095"/>
    <s v="https://www.youtube.com/watch?v=dSyDjopiU7I"/>
    <n v="149"/>
  </r>
  <r>
    <s v="PNTixRwd7vE"/>
    <s v="YouTube Shorts Is Actually Worse Than TikTok...17"/>
    <x v="64"/>
    <n v="453542"/>
    <n v="33000"/>
    <n v="2528"/>
    <n v="37"/>
    <n v="7.8334999999999999"/>
    <n v="12257.89"/>
    <s v="https://www.youtube.com/watch?v=PNTixRwd7vE"/>
    <n v="952"/>
  </r>
  <r>
    <s v="Dl93kffQnio"/>
    <s v="Building A Youtube Shorts Channel Until Its Monetized (Ep. 4)"/>
    <x v="47"/>
    <n v="9611"/>
    <n v="379"/>
    <n v="84"/>
    <n v="61"/>
    <n v="4.8174000000000001"/>
    <n v="157.56"/>
    <s v="https://www.youtube.com/watch?v=Dl93kffQnio"/>
    <n v="422"/>
  </r>
  <r>
    <s v="SucaVlvCopE"/>
    <s v="Worlds *FUNNIEST* Grow a Garden Shorts"/>
    <x v="65"/>
    <n v="1851643"/>
    <n v="14000"/>
    <n v="1895"/>
    <n v="249"/>
    <n v="0.85840000000000005"/>
    <n v="7436.32"/>
    <s v="https://www.youtube.com/watch?v=SucaVlvCopE"/>
    <n v="1595"/>
  </r>
  <r>
    <s v="FDsQGJTNItg"/>
    <s v="how to 8x your views on youtube shorts"/>
    <x v="66"/>
    <n v="5979"/>
    <n v="358"/>
    <n v="57"/>
    <n v="6"/>
    <n v="6.9409999999999998"/>
    <n v="996.5"/>
    <s v="https://www.youtube.com/watch?v=FDsQGJTNItg"/>
    <n v="309"/>
  </r>
  <r>
    <s v="DhN4B8J3HzA"/>
    <s v="THIS WAS TOO FUNNY ðŸ¤£ðŸ¤£#dance #shorts #short"/>
    <x v="67"/>
    <n v="8755497"/>
    <n v="58000"/>
    <n v="377"/>
    <n v="288"/>
    <n v="0.66669999999999996"/>
    <n v="30401.03"/>
    <s v="https://www.youtube.com/shorts/DhN4B8J3HzA"/>
    <n v="0"/>
  </r>
  <r>
    <s v="DntmpGPvZxo"/>
    <s v="When You Mess With A Dog #Shorts"/>
    <x v="68"/>
    <n v="9089235"/>
    <n v="316000"/>
    <n v="2975"/>
    <n v="627"/>
    <n v="3.5093999999999999"/>
    <n v="14496.39"/>
    <s v="https://www.youtube.com/shorts/DntmpGPvZxo"/>
    <n v="0"/>
  </r>
  <r>
    <s v="ikcO_fxzwVU"/>
    <s v="They are always sitting together ðŸ¥¹â™¥ï¸@jordanmatter #shorts #kaido #salishmatter #shortsfeed"/>
    <x v="69"/>
    <n v="3854779"/>
    <n v="36000"/>
    <n v="645"/>
    <n v="160"/>
    <n v="0.9506"/>
    <n v="24092.37"/>
    <s v="https://www.youtube.com/shorts/ikcO_fxzwVU"/>
    <n v="0"/>
  </r>
  <r>
    <s v="IQ14AVePD_g"/>
    <s v="How Life Starts #Shorts"/>
    <x v="68"/>
    <n v="49053533"/>
    <n v="548000"/>
    <n v="9377"/>
    <n v="254"/>
    <n v="1.1363000000000001"/>
    <n v="193124.15"/>
    <s v="https://www.youtube.com/shorts/IQ14AVePD_g"/>
    <n v="0"/>
  </r>
  <r>
    <s v="y-ZOvOmCf48"/>
    <s v="new trio â¤ï¸ #shorts #shortsviral #tiktok"/>
    <x v="70"/>
    <n v="22872335"/>
    <n v="110000"/>
    <n v="16079"/>
    <n v="214"/>
    <n v="0.55120000000000002"/>
    <n v="106880.07"/>
    <s v="https://www.youtube.com/shorts/y-ZOvOmCf48"/>
    <n v="544"/>
  </r>
  <r>
    <s v="5H0YBRbKaN8"/>
    <s v="Wait for it.. #school #pov #funny #comedyvideos #shorts #short #relatable"/>
    <x v="71"/>
    <n v="16293901"/>
    <n v="581000"/>
    <n v="2183"/>
    <n v="619"/>
    <n v="3.5790999999999999"/>
    <n v="26322.94"/>
    <s v="https://www.youtube.com/shorts/5H0YBRbKaN8"/>
    <n v="0"/>
  </r>
  <r>
    <s v="Z-z3NvGtN_o"/>
    <s v="I Recreated VIRAL YouTube Shorts!"/>
    <x v="72"/>
    <n v="2489518"/>
    <n v="16000"/>
    <n v="607"/>
    <n v="424"/>
    <n v="0.66710000000000003"/>
    <n v="5871.5"/>
    <s v="https://www.youtube.com/watch?v=Z-z3NvGtN_o"/>
    <n v="466"/>
  </r>
  <r>
    <s v="UE6J-XG6I4M"/>
    <s v="Sheâ€™s SO FLEXIBLE! ðŸ˜±ðŸ‘€ðŸ¤£ | Triple Charm #Shorts"/>
    <x v="73"/>
    <n v="48830791"/>
    <n v="441000"/>
    <n v="19424"/>
    <n v="531"/>
    <n v="0.94289999999999996"/>
    <n v="91960.06"/>
    <s v="https://www.youtube.com/shorts/UE6J-XG6I4M"/>
    <n v="0"/>
  </r>
  <r>
    <s v="cI_qClch6v8"/>
    <s v="So'yloq tishdan Make up #blogger #food #shorts #love #family #short #shortsvideo #rels #instagtam"/>
    <x v="74"/>
    <n v="1161219"/>
    <n v="0"/>
    <n v="0"/>
    <n v="553"/>
    <n v="0"/>
    <n v="2099.85"/>
    <s v="https://www.youtube.com/watch?v=cI_qClch6v8"/>
    <n v="130"/>
  </r>
  <r>
    <s v="WGGleHRHnlU"/>
    <s v="Eid py aaya bohat maza â¤ï¸ #funny #trending #comedy #youtubeshorts #shorts"/>
    <x v="75"/>
    <n v="4292680"/>
    <n v="6900"/>
    <n v="119"/>
    <n v="282"/>
    <n v="0.16350000000000001"/>
    <n v="15222.27"/>
    <s v="https://www.youtube.com/watch?v=WGGleHRHnlU"/>
    <n v="0"/>
  </r>
  <r>
    <s v="6aG36N_Fq00"/>
    <s v="Pink Tumbler ðŸ©· #asmr #restock #tumbler #satisfying #relaxing #fyp #pink #aesthetic #shorts"/>
    <x v="76"/>
    <n v="4603058"/>
    <n v="75000"/>
    <n v="379"/>
    <n v="300"/>
    <n v="1.6375999999999999"/>
    <n v="15343.53"/>
    <s v="https://www.youtube.com/shorts/6aG36N_Fq00"/>
    <n v="0"/>
  </r>
  <r>
    <s v="Yc4uoW78OMA"/>
    <s v="ðŸ˜²Short à¤¡à¤¾à¤²à¤¤à¥‡ à¤¹à¥€ Viral ðŸ“ˆ| How to viral short video | Short video viral tips and tricks"/>
    <x v="77"/>
    <n v="183625"/>
    <n v="7300"/>
    <n v="5554"/>
    <n v="27"/>
    <n v="7.0000999999999998"/>
    <n v="6800.93"/>
    <s v="https://www.youtube.com/watch?v=Yc4uoW78OMA"/>
    <n v="4849"/>
  </r>
  <r>
    <s v="WUJhYv_PitI"/>
    <s v="à¤¸à¤¬à¤¸à¥‡ à¤†à¤¸à¤¾à¤¨ à¤šà¥ˆà¤¨à¤² IDEA ðŸ”¥ | à¤ªà¤¹à¤²à¥‡ à¤¹à¥€ Shorts Viral 101% | How to create viral shorts"/>
    <x v="78"/>
    <n v="738170"/>
    <n v="18000"/>
    <n v="1520"/>
    <n v="187"/>
    <n v="2.6444000000000001"/>
    <n v="3947.43"/>
    <s v="https://www.youtube.com/watch?v=WUJhYv_PitI"/>
    <n v="3549"/>
  </r>
  <r>
    <s v="L3mU-N1w4Q8"/>
    <s v="ðŸ¤« à¤¡à¤¾à¤²à¤¤à¥‡ à¤¹à¥€ Short Viral ðŸ”¥| How To Viral Short Video On Youtube | Shorts Video Viral tips and tricks"/>
    <x v="79"/>
    <n v="350019"/>
    <n v="9000"/>
    <n v="2138"/>
    <n v="90"/>
    <n v="3.1821000000000002"/>
    <n v="3889.1"/>
    <s v="https://www.youtube.com/watch?v=L3mU-N1w4Q8"/>
    <n v="2312"/>
  </r>
  <r>
    <s v="sh1QSHFmFZs"/>
    <s v="Shorts Funny Video ðŸ˜ #funny #mistihappylifestyle #comedy #shorts #shortsviral #trending"/>
    <x v="80"/>
    <n v="2850459"/>
    <n v="0"/>
    <n v="0"/>
    <n v="475"/>
    <n v="0"/>
    <n v="6000.97"/>
    <s v="https://www.youtube.com/watch?v=sh1QSHFmFZs"/>
    <n v="87"/>
  </r>
  <r>
    <s v="9-i69UtCfmQ"/>
    <s v="SÃ¼per â¤ï¸ Perfect Family Wonderful ðŸ§¿ðŸ’•ðŸŽ¥ #shorts #tiktok"/>
    <x v="81"/>
    <n v="13195478"/>
    <n v="37000"/>
    <n v="433"/>
    <n v="753"/>
    <n v="0.28370000000000001"/>
    <n v="17523.88"/>
    <s v="https://www.youtube.com/watch?v=9-i69UtCfmQ"/>
    <n v="15"/>
  </r>
  <r>
    <s v="9HZy3siJHXI"/>
    <s v="ðŸ¤«501% New Trick Short à¤¡à¤¾à¤²à¤¤à¥‡ à¤¹à¥€ Viral ðŸ“ˆ| How to viral short video | Short video viral tips and tricks"/>
    <x v="77"/>
    <n v="110387"/>
    <n v="4400"/>
    <n v="4556"/>
    <n v="40"/>
    <n v="8.1133000000000006"/>
    <n v="2759.68"/>
    <s v="https://www.youtube.com/watch?v=9HZy3siJHXI"/>
    <n v="4864"/>
  </r>
  <r>
    <s v="_u4POCdoBlE"/>
    <s v="Gulab upada ke jabardast colour ðŸ’¥8816826455#trending#viral #shorts"/>
    <x v="82"/>
    <n v="303"/>
    <n v="53"/>
    <n v="4"/>
    <n v="1"/>
    <n v="18.811900000000001"/>
    <n v="303"/>
    <s v="https://www.youtube.com/watch?v=_u4POCdoBlE"/>
    <n v="0"/>
  </r>
  <r>
    <s v="YFaQ_5iW-8c"/>
    <s v="1 MIN AGO: Royal Family Just Made A Huge Announcement"/>
    <x v="83"/>
    <n v="2172147"/>
    <n v="10000"/>
    <n v="1955"/>
    <n v="256"/>
    <n v="0.5504"/>
    <n v="8484.9500000000007"/>
    <s v="https://www.youtube.com/watch?v=YFaQ_5iW-8c"/>
    <n v="619"/>
  </r>
  <r>
    <s v="BaasztkVKlE"/>
    <s v="I Uploaded 50 YouTube Shorts in 24 Hours (The Weirdest Things Happened!)"/>
    <x v="84"/>
    <n v="253281"/>
    <n v="4000"/>
    <n v="528"/>
    <n v="146"/>
    <n v="1.7877000000000001"/>
    <n v="1734.8"/>
    <s v="https://www.youtube.com/watch?v=BaasztkVKlE"/>
    <n v="918"/>
  </r>
  <r>
    <s v="K2mmMWmLWs4"/>
    <s v="CRAZY NURSE IN MY SCHOOLðŸ˜‚ðŸ‘€â¤ï¸ #shorts"/>
    <x v="85"/>
    <n v="10079"/>
    <n v="157"/>
    <n v="10"/>
    <n v="162"/>
    <n v="1.6569"/>
    <n v="62.22"/>
    <s v="https://www.youtube.com/watch?v=K2mmMWmLWs4"/>
    <n v="0"/>
  </r>
  <r>
    <s v="iPqnzsbBuJ4"/>
    <s v="Como fazer Shorts que SEMPRE Viralizam (com provas)"/>
    <x v="86"/>
    <n v="87450"/>
    <n v="7100"/>
    <n v="574"/>
    <n v="70"/>
    <n v="8.7752999999999997"/>
    <n v="1249.29"/>
    <s v="https://www.youtube.com/watch?v=iPqnzsbBuJ4"/>
    <n v="499"/>
  </r>
  <r>
    <s v="W8hQVkBKZCg"/>
    <s v="SÃ¼per â¤ï¸ðŸ¤• every human being has the right to live ðŸ§¿âœ…ðŸŽ¥ #shorts TikTok"/>
    <x v="81"/>
    <n v="7726985"/>
    <n v="21000"/>
    <n v="206"/>
    <n v="832"/>
    <n v="0.27439999999999998"/>
    <n v="9287.24"/>
    <s v="https://www.youtube.com/watch?v=W8hQVkBKZCg"/>
    <n v="15"/>
  </r>
  <r>
    <s v="6EGzJmZDvyA"/>
    <s v="Ballerina cappuccino is Calling me! SLIDE MONSTER Took her! SHORT MOVIE"/>
    <x v="87"/>
    <n v="1457300"/>
    <n v="2000"/>
    <n v="55"/>
    <n v="62"/>
    <n v="0.14099999999999999"/>
    <n v="23504.84"/>
    <s v="https://www.youtube.com/watch?v=6EGzJmZDvyA"/>
    <n v="150"/>
  </r>
  <r>
    <s v="CzumtoNsZsQ"/>
    <s v="Best Funniest Videos COMPILATION By Diya Ishwarya ðŸ˜±ðŸ¤£ðŸ’¯/shorts/TikTok"/>
    <x v="88"/>
    <n v="1436163"/>
    <n v="3900"/>
    <n v="0"/>
    <n v="375"/>
    <n v="0.27160000000000001"/>
    <n v="3829.77"/>
    <s v="https://www.youtube.com/watch?v=CzumtoNsZsQ"/>
    <n v="55"/>
  </r>
  <r>
    <s v="hfuSGCyVvLI"/>
    <s v="Best Funniest Videos COMPILATION By Diya Ishwarya ðŸ˜± ðŸ¤£ ðŸ’¯/shorts/TikTok/DiyaIshwarya"/>
    <x v="88"/>
    <n v="2522570"/>
    <n v="6000"/>
    <n v="0"/>
    <n v="424"/>
    <n v="0.2379"/>
    <n v="5949.46"/>
    <s v="https://www.youtube.com/watch?v=hfuSGCyVvLI"/>
    <n v="56"/>
  </r>
  <r>
    <s v="jjary-9tnlo"/>
    <s v="Ranking funny try not cringe moments ðŸ˜‚ #funny #funnyvideos #shorts"/>
    <x v="89"/>
    <n v="11331776"/>
    <n v="60000"/>
    <n v="1022"/>
    <n v="224"/>
    <n v="0.53849999999999998"/>
    <n v="50588.29"/>
    <s v="https://www.youtube.com/shorts/jjary-9tnlo"/>
    <n v="0"/>
  </r>
  <r>
    <s v="j_y28wsorR4"/>
    <s v="Shanu or aali nay ki shopping ðŸ›ï¸ #trending #funny #youtubeshorts #shorts #vlog"/>
    <x v="75"/>
    <n v="4373354"/>
    <n v="9800"/>
    <n v="138"/>
    <n v="351"/>
    <n v="0.22720000000000001"/>
    <n v="12459.7"/>
    <s v="https://www.youtube.com/watch?v=j_y28wsorR4"/>
    <n v="0"/>
  </r>
  <r>
    <s v="cWs4WA--eKU"/>
    <s v="The Gunfighter | A Short Film by Eric Kissack (narrated by Nick Offerman)"/>
    <x v="90"/>
    <n v="5911400"/>
    <n v="195000"/>
    <n v="4726"/>
    <n v="3428"/>
    <n v="3.3786999999999998"/>
    <n v="1724.45"/>
    <s v="https://www.youtube.com/watch?v=cWs4WA--eKU"/>
    <n v="1356"/>
  </r>
  <r>
    <s v="iLTxTDelLwE"/>
    <s v="Jun Jun funny videoðŸ˜‚ðŸ˜‚ðŸ˜‚best TikTok compilation 2024#shorts#funny#cocomelon"/>
    <x v="91"/>
    <n v="5907217"/>
    <n v="16000"/>
    <n v="518"/>
    <n v="458"/>
    <n v="0.27960000000000002"/>
    <n v="12897.85"/>
    <s v="https://www.youtube.com/watch?v=iLTxTDelLwE"/>
    <n v="0"/>
  </r>
  <r>
    <s v="6pQ1l7VEBVs"/>
    <s v="Bhul Janu Mur Asil || Assamese Short Film || Nitumani Sarma || Bikash Bailung || Kagoj"/>
    <x v="92"/>
    <n v="47538"/>
    <n v="2700"/>
    <n v="238"/>
    <n v="3"/>
    <n v="6.1802999999999999"/>
    <n v="15846"/>
    <s v="https://www.youtube.com/watch?v=6pQ1l7VEBVs"/>
    <n v="631"/>
  </r>
  <r>
    <s v="X40_0uqYbio"/>
    <s v="It's so scrary #trending #viral #funny #shorts"/>
    <x v="93"/>
    <n v="75923671"/>
    <n v="2900000"/>
    <n v="5493"/>
    <n v="681"/>
    <n v="3.8269000000000002"/>
    <n v="111488.5"/>
    <s v="https://www.youtube.com/shorts/X40_0uqYbio"/>
    <n v="0"/>
  </r>
  <r>
    <s v="b_mwMikG_IQ"/>
    <s v="Nothing ordinary about this! #trending #dance #shorts #shortsfeed"/>
    <x v="94"/>
    <n v="38274019"/>
    <n v="539000"/>
    <n v="18327"/>
    <n v="334"/>
    <n v="1.4560999999999999"/>
    <n v="114592.87"/>
    <s v="https://www.youtube.com/shorts/b_mwMikG_IQ"/>
    <n v="0"/>
  </r>
  <r>
    <s v="79IO2s0blQo"/>
    <s v="ðŸ˜± BEST EMOTIONAL VIDEOS, MATIFAMILY @babyluke_ #matifamily #funny #babymatifa #shorts #emotional"/>
    <x v="95"/>
    <n v="567142"/>
    <n v="2700"/>
    <n v="122"/>
    <n v="196"/>
    <n v="0.49759999999999999"/>
    <n v="2893.58"/>
    <s v="https://www.youtube.com/watch?v=79IO2s0blQo"/>
    <n v="665"/>
  </r>
  <r>
    <s v="E8kjMc5iPG8"/>
    <s v="WTF Is Gen Alpha Posting On YouTube Shorts ðŸ’€"/>
    <x v="96"/>
    <n v="628316"/>
    <n v="14000"/>
    <n v="2614"/>
    <n v="114"/>
    <n v="2.6442000000000001"/>
    <n v="5511.54"/>
    <s v="https://www.youtube.com/watch?v=E8kjMc5iPG8"/>
    <n v="705"/>
  </r>
  <r>
    <s v="mBrn8ana84w"/>
    <s v="How to Make VIRAL Commentary Shorts with AI (Full Tutorial)"/>
    <x v="2"/>
    <n v="93725"/>
    <n v="3900"/>
    <n v="207"/>
    <n v="134"/>
    <n v="4.3819999999999997"/>
    <n v="699.44"/>
    <s v="https://www.youtube.com/watch?v=mBrn8ana84w"/>
    <n v="2032"/>
  </r>
  <r>
    <s v="d844BGwaLY8"/>
    <s v="ðŸ¤« 7 Sec. à¤®à¥‡à¤‚ Short VIRALðŸ”¥ | How To Viral Short Video On Youtube | Shorts Viral Kaise Kare"/>
    <x v="97"/>
    <n v="956619"/>
    <n v="27000"/>
    <n v="6672"/>
    <n v="143"/>
    <n v="3.5198999999999998"/>
    <n v="6689.64"/>
    <s v="https://www.youtube.com/watch?v=d844BGwaLY8"/>
    <n v="2271"/>
  </r>
  <r>
    <s v="v4cQORz4sK8"/>
    <s v="SEC Shorts - SEC TV games go dark"/>
    <x v="98"/>
    <n v="463960"/>
    <n v="17000"/>
    <n v="1338"/>
    <n v="135"/>
    <n v="3.9525000000000001"/>
    <n v="3436.74"/>
    <s v="https://www.youtube.com/watch?v=v4cQORz4sK8"/>
    <n v="245"/>
  </r>
  <r>
    <s v="Pg8HFh12PAc"/>
    <s v="I Tested Simpsons Clickbait Fortnite Shorts!"/>
    <x v="99"/>
    <n v="877824"/>
    <n v="6900"/>
    <n v="234"/>
    <n v="133"/>
    <n v="0.81269999999999998"/>
    <n v="6600.18"/>
    <s v="https://www.youtube.com/watch?v=Pg8HFh12PAc"/>
    <n v="1441"/>
  </r>
  <r>
    <s v="_rOVZMpAYxw"/>
    <s v="SEC Shorts - SEC teams board the Playoff Train"/>
    <x v="98"/>
    <n v="540723"/>
    <n v="21000"/>
    <n v="1747"/>
    <n v="100"/>
    <n v="4.2068000000000003"/>
    <n v="5407.23"/>
    <s v="https://www.youtube.com/watch?v=_rOVZMpAYxw"/>
    <n v="150"/>
  </r>
  <r>
    <s v="B0uDoEzqxlE"/>
    <s v="Dumb Life Hacks I Learned on YouTube Shorts!"/>
    <x v="4"/>
    <n v="310411"/>
    <n v="3100"/>
    <n v="213"/>
    <n v="25"/>
    <n v="1.0672999999999999"/>
    <n v="12416.44"/>
    <s v="https://www.youtube.com/watch?v=B0uDoEzqxlE"/>
    <n v="1256"/>
  </r>
  <r>
    <s v="zK5WNWlw2Lw"/>
    <s v="How to Escape 0, 10k &amp; 30k View Jail on YouTube Shorts (Full Guide)"/>
    <x v="100"/>
    <n v="91601"/>
    <n v="5500"/>
    <n v="1747"/>
    <n v="110"/>
    <n v="7.9115000000000002"/>
    <n v="832.74"/>
    <s v="https://www.youtube.com/watch?v=zK5WNWlw2Lw"/>
    <n v="1029"/>
  </r>
  <r>
    <s v="65S8oTrznH8"/>
    <s v="Bro Got Embarrassed Twice by Messi #shorts ðŸ˜­ðŸ”¥ #shorts #edit #football #footballedits #soccer #messi"/>
    <x v="101"/>
    <n v="14100613"/>
    <n v="182000"/>
    <n v="1027"/>
    <n v="171"/>
    <n v="1.298"/>
    <n v="82459.73"/>
    <s v="https://www.youtube.com/shorts/65S8oTrznH8"/>
    <n v="700"/>
  </r>
  <r>
    <s v="5iIIYKztamo"/>
    <s v="I Went Viral With YouTube Shorts In 30 Days"/>
    <x v="102"/>
    <n v="434653"/>
    <n v="12000"/>
    <n v="1139"/>
    <n v="206"/>
    <n v="3.0228999999999999"/>
    <n v="2109.9699999999998"/>
    <s v="https://www.youtube.com/watch?v=5iIIYKztamo"/>
    <n v="434"/>
  </r>
  <r>
    <s v="zf7T9FVR2NA"/>
    <s v="Bread &amp; Barbecue Sauce Was My Poverty Meal â€” What Was Yours? #Shorts"/>
    <x v="103"/>
    <n v="3809"/>
    <n v="535"/>
    <n v="109"/>
    <n v="1"/>
    <n v="16.907299999999999"/>
    <n v="3809"/>
    <s v="https://www.youtube.com/watch?v=zf7T9FVR2NA"/>
    <n v="1451"/>
  </r>
  <r>
    <s v="tLZjL-dMH_g"/>
    <s v="Don't do this #short #shorts #shortvideo #memes"/>
    <x v="104"/>
    <n v="103599932"/>
    <n v="961000"/>
    <n v="1111"/>
    <n v="608"/>
    <n v="0.92869999999999997"/>
    <n v="170394.62"/>
    <s v="https://www.youtube.com/shorts/tLZjL-dMH_g"/>
    <n v="0"/>
  </r>
  <r>
    <s v="ib1XVpSL0MY"/>
    <s v="à°¤à±Šà°²à°¿ à°ªà±à°°à±‡à°® â¤ï¸ | The painful Love Story ðŸ’”| Part-206 #emotional #love #truelove #family #shorts"/>
    <x v="105"/>
    <n v="213392"/>
    <n v="10000"/>
    <n v="236"/>
    <n v="1"/>
    <n v="4.7968000000000002"/>
    <n v="213392"/>
    <s v="https://www.youtube.com/watch?v=ib1XVpSL0MY"/>
    <n v="1140"/>
  </r>
  <r>
    <s v="6FljrpJG3pg"/>
    <s v="Bestie Dance Again â¤ï¸#shorts #shortsfeed #nastyashatarot"/>
    <x v="70"/>
    <n v="53999211"/>
    <n v="466000"/>
    <n v="15901"/>
    <n v="547"/>
    <n v="0.89239999999999997"/>
    <n v="98718.85"/>
    <s v="https://www.youtube.com/shorts/6FljrpJG3pg"/>
    <n v="657"/>
  </r>
  <r>
    <s v="RTfOF2IONRc"/>
    <s v="WHY DOES HE LOOK LIKE THAT #Shorts"/>
    <x v="106"/>
    <n v="44223068"/>
    <n v="1100000"/>
    <n v="23184"/>
    <n v="988"/>
    <n v="2.5398000000000001"/>
    <n v="44760.19"/>
    <s v="https://www.youtube.com/shorts/RTfOF2IONRc"/>
    <n v="0"/>
  </r>
  <r>
    <s v="g8l0z0DCXUs"/>
    <s v="SEC Shorts - After that Rose Bowl, Daniel Moore gotta paint something"/>
    <x v="98"/>
    <n v="290663"/>
    <n v="11000"/>
    <n v="735"/>
    <n v="72"/>
    <n v="4.0373000000000001"/>
    <n v="4036.99"/>
    <s v="https://www.youtube.com/watch?v=g8l0z0DCXUs"/>
    <n v="302"/>
  </r>
  <r>
    <s v="KmgGlg5ys54"/>
    <s v="Normal day in the jungle! ðŸ¤£ (4k memes)  #shorts"/>
    <x v="23"/>
    <n v="24985757"/>
    <n v="1300000"/>
    <n v="5911"/>
    <n v="838"/>
    <n v="5.2266000000000004"/>
    <n v="29815.94"/>
    <s v="https://www.youtube.com/shorts/KmgGlg5ys54"/>
    <n v="0"/>
  </r>
  <r>
    <s v="0UjB4kmK88Y"/>
    <s v="World's *FUNNIEST* Gorilla Tag Shorts!"/>
    <x v="107"/>
    <n v="4843209"/>
    <n v="36000"/>
    <n v="1329"/>
    <n v="378"/>
    <n v="0.77070000000000005"/>
    <n v="12812.72"/>
    <s v="https://www.youtube.com/watch?v=0UjB4kmK88Y"/>
    <n v="423"/>
  </r>
  <r>
    <s v="X_Sb47fxIe8"/>
    <s v="Ranking The Funniest Celebrities Memes Ever ðŸ¤£ (Part 2) #shorts #funny #ranking #tiktok"/>
    <x v="108"/>
    <n v="22611824"/>
    <n v="503000"/>
    <n v="5838"/>
    <n v="222"/>
    <n v="2.2503000000000002"/>
    <n v="101855.06"/>
    <s v="https://www.youtube.com/shorts/X_Sb47fxIe8"/>
    <n v="0"/>
  </r>
  <r>
    <s v="vmkB8ItYRzI"/>
    <s v="How I Upload Shorts Like a PRO in 2026 ðŸ˜± | 3 Viral Secrets Nobody Tells! ðŸš€"/>
    <x v="109"/>
    <n v="692203"/>
    <n v="33000"/>
    <n v="3771"/>
    <n v="57"/>
    <n v="5.3121999999999998"/>
    <n v="12143.91"/>
    <s v="https://www.youtube.com/watch?v=vmkB8ItYRzI"/>
    <n v="2833"/>
  </r>
  <r>
    <s v="jAa8RVbklAk"/>
    <s v="NEWâ¤ï¸ðŸ‘€ BETER BÃ–CÃœK TOPRAK IN NEW SCHOOL #shorts"/>
    <x v="85"/>
    <n v="54567"/>
    <n v="296"/>
    <n v="8"/>
    <n v="170"/>
    <n v="0.55710000000000004"/>
    <n v="320.98"/>
    <s v="https://www.youtube.com/watch?v=jAa8RVbklAk"/>
    <n v="0"/>
  </r>
  <r>
    <s v="twEpdgUi1eA"/>
    <s v="501% Short à¤¡à¤¾à¤²à¤¤à¥‡ à¤¹à¥€ Direct Viral ðŸ”¥ How to Viral Shorts on Youtube ? | Shorts viral Kaise Kare"/>
    <x v="110"/>
    <n v="123651"/>
    <n v="5400"/>
    <n v="1897"/>
    <n v="62"/>
    <n v="5.9013"/>
    <n v="1994.37"/>
    <s v="https://www.youtube.com/watch?v=twEpdgUi1eA"/>
    <n v="4216"/>
  </r>
  <r>
    <s v="J4stYmJ4VDc"/>
    <s v="BEST funniestðŸ¤£ videos compilation byðŸ¥° krishnaavyu â™¥ï¸"/>
    <x v="111"/>
    <n v="5807617"/>
    <n v="10000"/>
    <n v="141"/>
    <n v="217"/>
    <n v="0.17460000000000001"/>
    <n v="26763.21"/>
    <s v="https://www.youtube.com/watch?v=J4stYmJ4VDc"/>
    <n v="39"/>
  </r>
  <r>
    <s v="4MeElT9ZrAs"/>
    <s v="Baxterâ€™s Funniest Moments of 2025 ðŸ¤£ðŸ¶ (Best Shorts Compilation)"/>
    <x v="112"/>
    <n v="3419857"/>
    <n v="14000"/>
    <n v="450"/>
    <n v="78"/>
    <n v="0.42249999999999999"/>
    <n v="43844.32"/>
    <s v="https://www.youtube.com/watch?v=4MeElT9ZrAs"/>
    <n v="432"/>
  </r>
  <r>
    <s v="KGmiKGfwud0"/>
    <s v="LiDiRo reagiert auf Shorts #520 #lidiro #shorts"/>
    <x v="113"/>
    <n v="125527"/>
    <n v="1400"/>
    <n v="56"/>
    <n v="50"/>
    <n v="1.1598999999999999"/>
    <n v="2510.54"/>
    <s v="https://www.youtube.com/watch?v=KGmiKGfwud0"/>
    <n v="710"/>
  </r>
  <r>
    <s v="LDLvoYeRigc"/>
    <s v="Shanu vs bhoot ðŸ‘» #funny #comedy #youtubeshorts #trending #shorts #bhoot"/>
    <x v="75"/>
    <n v="782329"/>
    <n v="977"/>
    <n v="38"/>
    <n v="126"/>
    <n v="0.12970000000000001"/>
    <n v="6208.96"/>
    <s v="https://www.youtube.com/watch?v=LDLvoYeRigc"/>
    <n v="0"/>
  </r>
  <r>
    <s v="QGvMk1ugiu0"/>
    <s v="BETER BÃ–CÃœK AND HELLO NEIHGBOR IN REAL LIFE ðŸ˜±ðŸ‘»â¤ï¸ #shorts"/>
    <x v="85"/>
    <n v="1346019"/>
    <n v="3800"/>
    <n v="61"/>
    <n v="306"/>
    <n v="0.2868"/>
    <n v="4398.75"/>
    <s v="https://www.youtube.com/watch?v=QGvMk1ugiu0"/>
    <n v="0"/>
  </r>
  <r>
    <s v="5_-NxCvz6mc"/>
    <s v="ðŸ¥³ 12 à¤®à¤¿à¤¨à¤Ÿ à¤®à¥‡à¤‚ Short Viral ðŸ’¥ | short video viral tips and tricks | how to viral short video"/>
    <x v="114"/>
    <n v="425972"/>
    <n v="17000"/>
    <n v="4257"/>
    <n v="128"/>
    <n v="4.9901999999999997"/>
    <n v="3327.91"/>
    <s v="https://www.youtube.com/watch?v=5_-NxCvz6mc"/>
    <n v="3463"/>
  </r>
  <r>
    <s v="jSQ6Mru88y4"/>
    <s v="I BLEW UP a YouTube Channel in 7 Days to Prove it's NOT Luck"/>
    <x v="115"/>
    <n v="1836201"/>
    <n v="64000"/>
    <n v="4059"/>
    <n v="461"/>
    <n v="3.7065000000000001"/>
    <n v="3983.08"/>
    <s v="https://www.youtube.com/watch?v=jSQ6Mru88y4"/>
    <n v="602"/>
  </r>
  <r>
    <s v="PIT1PfZvXjY"/>
    <s v="Aali ka gift ðŸŽ shanu naraz ho gya ðŸ˜± #trending #funny #shorts #vlog #youtubeshorts"/>
    <x v="75"/>
    <n v="13332121"/>
    <n v="31000"/>
    <n v="0"/>
    <n v="442"/>
    <n v="0.23250000000000001"/>
    <n v="30163.17"/>
    <s v="https://www.youtube.com/watch?v=PIT1PfZvXjY"/>
    <n v="0"/>
  </r>
  <r>
    <s v="qJssYisa14k"/>
    <s v="SUBSCRIBERS à¤•à¥€ à¤¬à¤¾à¤°à¤¿à¤¶ ðŸ˜± Shorts à¤•à¤¾ New Channel à¤¬à¤¨à¤¾à¤•à¤° Grow à¤•à¤°à¤¨à¤¾ à¤¹à¥ˆ à¤¤à¥‹ à¤¯à¥‡ Trick à¤²à¤—à¤¾à¤“ || 2 à¤¦à¤¿à¤¨ à¤®à¥‡ VIRAL"/>
    <x v="97"/>
    <n v="682954"/>
    <n v="18000"/>
    <n v="2913"/>
    <n v="146"/>
    <n v="3.0621"/>
    <n v="4677.7700000000004"/>
    <s v="https://www.youtube.com/watch?v=qJssYisa14k"/>
    <n v="3291"/>
  </r>
  <r>
    <s v="BjA995dP_60"/>
    <s v="Meatball | Award-Winning Comedy Short Film (4k)"/>
    <x v="116"/>
    <n v="290062"/>
    <n v="12000"/>
    <n v="745"/>
    <n v="56"/>
    <n v="4.3939000000000004"/>
    <n v="5179.68"/>
    <s v="https://www.youtube.com/watch?v=BjA995dP_60"/>
    <n v="789"/>
  </r>
  <r>
    <s v="_yuLAFQuDcI"/>
    <s v="1,000 Secrets I *LEARNED* on YouTube Shorts!"/>
    <x v="117"/>
    <n v="521975"/>
    <n v="2400"/>
    <n v="199"/>
    <n v="75"/>
    <n v="0.49790000000000001"/>
    <n v="6959.67"/>
    <s v="https://www.youtube.com/watch?v=_yuLAFQuDcI"/>
    <n v="1255"/>
  </r>
  <r>
    <s v="cSqBzblCidI"/>
    <s v="Ice cream prank with Mama ðŸ¦Tom&amp;Jerry #shorts"/>
    <x v="118"/>
    <n v="1919497"/>
    <n v="2400"/>
    <n v="24"/>
    <n v="188"/>
    <n v="0.1263"/>
    <n v="10210.09"/>
    <s v="https://www.youtube.com/watch?v=cSqBzblCidI"/>
    <n v="103"/>
  </r>
  <r>
    <s v="wbxms2ElnBA"/>
    <s v="Ek tuition wali didi aisi bhi ðŸ‘©â€ðŸ«ðŸ˜‚ #shorts #sejalgabashorts #tuition"/>
    <x v="40"/>
    <n v="2725173"/>
    <n v="8800"/>
    <n v="225"/>
    <n v="171"/>
    <n v="0.33119999999999999"/>
    <n v="15936.68"/>
    <s v="https://www.youtube.com/watch?v=wbxms2ElnBA"/>
    <n v="31"/>
  </r>
  <r>
    <s v="9sKymTsMu5k"/>
    <s v="17 à¤®à¤¿à¤¨à¤Ÿ à¤®à¥‡à¤‚ Shorts Viral à¤•à¤¿à¤¯à¤¾ ðŸ”¥ | New Trick à¤¸à¥‡ 3 à¤¦à¤¿à¤¨ à¤®à¥‡à¤‚ 10M Views à¤ªà¥‚à¤°à¤¾ ðŸ“ˆ | Shorts viral Kaise Kare"/>
    <x v="110"/>
    <n v="86574"/>
    <n v="3300"/>
    <n v="796"/>
    <n v="91"/>
    <n v="4.7312000000000003"/>
    <n v="951.36"/>
    <s v="https://www.youtube.com/watch?v=9sKymTsMu5k"/>
    <n v="4144"/>
  </r>
  <r>
    <s v="LOfjpVn--5E"/>
    <s v="ðŸ¤«14 Sec. à¤®à¥‡à¤‚ Short Viral ðŸ”¥| shorts video viral tips and tricks | how to viral short video on youtube"/>
    <x v="119"/>
    <n v="2145313"/>
    <n v="65000"/>
    <n v="17254"/>
    <n v="239"/>
    <n v="3.8340999999999998"/>
    <n v="8976.2099999999991"/>
    <s v="https://www.youtube.com/watch?v=LOfjpVn--5E"/>
    <n v="610"/>
  </r>
  <r>
    <s v="2KzDSEQb2aM"/>
    <s v="ðŸ˜² OMG ðŸ› The Kitten is in Big Trouble ðŸ¥º Little Kittenâ€™s Unbelievable Bug Story"/>
    <x v="120"/>
    <n v="88976543"/>
    <n v="52000"/>
    <n v="987"/>
    <n v="147"/>
    <n v="5.96E-2"/>
    <n v="605282.61"/>
    <s v="https://www.youtube.com/watch?v=2KzDSEQb2aM"/>
    <n v="1814"/>
  </r>
  <r>
    <s v="95J7ZvDB2PQ"/>
    <s v="Father &amp; Daughter go swimming in summerâ—ï¸Mattress under The Swimming Pool ðŸ˜± by Su Hao #shorts"/>
    <x v="121"/>
    <n v="779592"/>
    <n v="1500"/>
    <n v="21"/>
    <n v="193"/>
    <n v="0.1951"/>
    <n v="4039.34"/>
    <s v="https://www.youtube.com/watch?v=95J7ZvDB2PQ"/>
    <n v="239"/>
  </r>
  <r>
    <s v="k_mk2hiTD0I"/>
    <s v="NEW TIKTOK VIDEOS FROM BETER BÃ–CÃœK ðŸ‘€â¤ï¸ðŸŽ¶ #shorts"/>
    <x v="85"/>
    <n v="13630"/>
    <n v="127"/>
    <n v="15"/>
    <n v="167"/>
    <n v="1.0418000000000001"/>
    <n v="81.62"/>
    <s v="https://www.youtube.com/watch?v=k_mk2hiTD0I"/>
    <n v="0"/>
  </r>
  <r>
    <s v="Fgo8XJi9tt8"/>
    <s v="Scary Teacher 3D vs Squid Game Wheel Saw Hammer Honeycomb Candy Shapes Level Max 5 Times Challenge"/>
    <x v="122"/>
    <n v="127156155"/>
    <n v="297000"/>
    <n v="2076"/>
    <n v="796"/>
    <n v="0.23519999999999999"/>
    <n v="159743.91"/>
    <s v="https://www.youtube.com/watch?v=Fgo8XJi9tt8"/>
    <n v="750"/>
  </r>
  <r>
    <s v="_s0-yQ73s7Q"/>
    <s v="ðŸ¤« 9 Sec. à¤®à¥‡à¤‚ Short VIRALðŸ”¥ | How To Viral Short Video On Youtube | Shorts Viral Kaise Kare"/>
    <x v="114"/>
    <n v="111839"/>
    <n v="4200"/>
    <n v="1551"/>
    <n v="141"/>
    <n v="5.1421999999999999"/>
    <n v="793.18"/>
    <s v="https://www.youtube.com/watch?v=_s0-yQ73s7Q"/>
    <n v="3197"/>
  </r>
  <r>
    <s v="R_TvkQhYWTA"/>
    <s v="LiDiRo reagiert auf Shorts #503 #lidiro #shorts"/>
    <x v="113"/>
    <n v="113905"/>
    <n v="1400"/>
    <n v="43"/>
    <n v="67"/>
    <n v="1.2667999999999999"/>
    <n v="1700.07"/>
    <s v="https://www.youtube.com/watch?v=R_TvkQhYWTA"/>
    <n v="696"/>
  </r>
  <r>
    <s v="bvyzBIbCVN8"/>
    <s v="Shorts à¤¡à¤¾à¤²à¤¤à¥‡ à¤¹à¥€ VIRALðŸ”¥â¤´ï¸| shorts video viral tips and tricks | how to viral short video on youtube"/>
    <x v="119"/>
    <n v="81277"/>
    <n v="2800"/>
    <n v="833"/>
    <n v="72"/>
    <n v="4.4699"/>
    <n v="1128.8499999999999"/>
    <s v="https://www.youtube.com/watch?v=bvyzBIbCVN8"/>
    <n v="608"/>
  </r>
  <r>
    <s v="leJdQVVx5l0"/>
    <s v="Dumbest Brainrot Youtube Shorts Comments"/>
    <x v="123"/>
    <n v="374388"/>
    <n v="11000"/>
    <n v="1516"/>
    <n v="80"/>
    <n v="3.3431000000000002"/>
    <n v="4679.8500000000004"/>
    <s v="https://www.youtube.com/watch?v=leJdQVVx5l0"/>
    <n v="329"/>
  </r>
  <r>
    <s v="XPExDLNGysk"/>
    <s v="School Vs College ðŸ¤© || Allari Aarathi || #comedy #shorts #trendingshorts #schoollife"/>
    <x v="124"/>
    <n v="3368305"/>
    <n v="13000"/>
    <n v="638"/>
    <n v="299"/>
    <n v="0.40489999999999998"/>
    <n v="11265.23"/>
    <s v="https://www.youtube.com/watch?v=XPExDLNGysk"/>
    <n v="2188"/>
  </r>
  <r>
    <s v="jqpGtffk7fM"/>
    <s v="Mera teddy bear le liya ðŸ˜‚ #funnyvideo #comedyvideo #sukhasankastar #shortvideo #viralvideo #shorts"/>
    <x v="125"/>
    <n v="4214638"/>
    <n v="3200"/>
    <n v="51"/>
    <n v="105"/>
    <n v="7.7100000000000002E-2"/>
    <n v="40139.410000000003"/>
    <s v="https://www.youtube.com/watch?v=jqpGtffk7fM"/>
    <n v="4872"/>
  </r>
  <r>
    <s v="JnnQ2-0edBs"/>
    <s v="YouTube Shorts vs Long Videos â€“ Which Makes More Money in 2026?"/>
    <x v="126"/>
    <n v="13452"/>
    <n v="733"/>
    <n v="135"/>
    <n v="26"/>
    <n v="6.4526000000000003"/>
    <n v="517.38"/>
    <s v="https://www.youtube.com/watch?v=JnnQ2-0edBs"/>
    <n v="1408"/>
  </r>
  <r>
    <s v="CNE0neya59o"/>
    <s v="EDDIE MORA Best Funny Shorts 2026! Try Not to Laugh with RYAN HD LOMBARD P4"/>
    <x v="127"/>
    <n v="600018"/>
    <n v="3600"/>
    <n v="146"/>
    <n v="14"/>
    <n v="0.62429999999999997"/>
    <n v="42858.43"/>
    <s v="https://www.youtube.com/watch?v=CNE0neya59o"/>
    <n v="2374"/>
  </r>
  <r>
    <s v="yimxzQqu_6g"/>
    <s v="How I Edit YouTube Shorts That Get Millions of Views"/>
    <x v="10"/>
    <n v="123607"/>
    <n v="7300"/>
    <n v="512"/>
    <n v="154"/>
    <n v="6.32"/>
    <n v="802.64"/>
    <s v="https://www.youtube.com/watch?v=yimxzQqu_6g"/>
    <n v="761"/>
  </r>
  <r>
    <s v="5ctvDMRse9g"/>
    <s v="Worst Indian YouTube Shorts"/>
    <x v="128"/>
    <n v="17213047"/>
    <n v="522000"/>
    <n v="11445"/>
    <n v="980"/>
    <n v="3.0991"/>
    <n v="17564.330000000002"/>
    <s v="https://www.youtube.com/watch?v=5ctvDMRse9g"/>
    <n v="860"/>
  </r>
  <r>
    <s v="kh0rVvfsQOk"/>
    <s v="Monkey Baby Bon Bon Goes Fishing and Swims with Ducklings in the Pool"/>
    <x v="129"/>
    <n v="58326695"/>
    <n v="190000"/>
    <n v="0"/>
    <n v="854"/>
    <n v="0.32579999999999998"/>
    <n v="68298.240000000005"/>
    <s v="https://www.youtube.com/watch?v=kh0rVvfsQOk"/>
    <n v="134"/>
  </r>
  <r>
    <s v="P8DGhbvVZEQ"/>
    <s v="ðŸ¤‘à¤¦à¥‚à¤¸à¤°à¥‹à¤‚ à¤•à¥‡ #Shorts à¤¸à¥‡ ( 8 à¤²à¤¾à¤– à¤•à¤®à¤¾à¤¯à¤¾)ðŸ’µ copy paste video on youtube and earn money | new channel idea"/>
    <x v="130"/>
    <n v="68374"/>
    <n v="1900"/>
    <n v="823"/>
    <n v="46"/>
    <n v="3.9824999999999999"/>
    <n v="1486.39"/>
    <s v="https://www.youtube.com/watch?v=P8DGhbvVZEQ"/>
    <n v="2957"/>
  </r>
  <r>
    <s v="3kST_PNAKgw"/>
    <s v="*1 Hour* Funny Shorts Sotey.yon | Best of Sotey.yon 2024 | Shorts Comps"/>
    <x v="131"/>
    <n v="4003077"/>
    <n v="27000"/>
    <n v="1952"/>
    <n v="559"/>
    <n v="0.72319999999999995"/>
    <n v="7161.14"/>
    <s v="https://www.youtube.com/watch?v=3kST_PNAKgw"/>
    <n v="211"/>
  </r>
  <r>
    <s v="k_GGiWNAmRY"/>
    <s v="Netflix and Chills | Short Horror Film"/>
    <x v="132"/>
    <n v="383154"/>
    <n v="5100"/>
    <n v="670"/>
    <n v="146"/>
    <n v="1.5059"/>
    <n v="2624.34"/>
    <s v="https://www.youtube.com/watch?v=k_GGiWNAmRY"/>
    <n v="652"/>
  </r>
  <r>
    <s v="AZjPi5INS6E"/>
    <s v="Martin Short's Daughter Katherine Dead at 42"/>
    <x v="133"/>
    <n v="518218"/>
    <n v="3900"/>
    <n v="1032"/>
    <n v="22"/>
    <n v="0.95169999999999999"/>
    <n v="23555.360000000001"/>
    <s v="https://www.youtube.com/watch?v=AZjPi5INS6E"/>
    <n v="228"/>
  </r>
  <r>
    <s v="YSKstSLx3tk"/>
    <s v="*3 HOURS* Mark Adams BEST SHORTS OF 2023 | Funny Marrkadams"/>
    <x v="134"/>
    <n v="11854330"/>
    <n v="58000"/>
    <n v="3334"/>
    <n v="855"/>
    <n v="0.51739999999999997"/>
    <n v="13864.71"/>
    <s v="https://www.youtube.com/watch?v=YSKstSLx3tk"/>
    <n v="325"/>
  </r>
  <r>
    <s v="kH3Jv8Lzr0o"/>
    <s v="*NEWEST* MARRK ADAMS Shorts Compilation #16 | Funny Mark Adams TikToks"/>
    <x v="134"/>
    <n v="6259832"/>
    <n v="35000"/>
    <n v="2270"/>
    <n v="522"/>
    <n v="0.59540000000000004"/>
    <n v="11992.02"/>
    <s v="https://www.youtube.com/watch?v=kH3Jv8Lzr0o"/>
    <n v="362"/>
  </r>
  <r>
    <s v="6W6dzchevrk"/>
    <s v="Try Not To Laugh: Eddie Mora vs Mark Adams Shorts 2026 PT.1"/>
    <x v="135"/>
    <n v="2476980"/>
    <n v="13000"/>
    <n v="1009"/>
    <n v="75"/>
    <n v="0.56559999999999999"/>
    <n v="33026.400000000001"/>
    <s v="https://www.youtube.com/watch?v=6W6dzchevrk"/>
    <n v="2010"/>
  </r>
  <r>
    <s v="8oUnM3w-U4k"/>
    <s v="Try Not to Laugh! Mark Adams vs Eddie Mora Funny Shorts 2026! 1"/>
    <x v="136"/>
    <n v="2698801"/>
    <n v="13000"/>
    <n v="802"/>
    <n v="69"/>
    <n v="0.51139999999999997"/>
    <n v="39113.06"/>
    <s v="https://www.youtube.com/watch?v=8oUnM3w-U4k"/>
    <n v="2537"/>
  </r>
  <r>
    <s v="YzZUcZjlUE4"/>
    <s v="20â€™s Moms vs 90's Moms ðŸ˜‚ðŸ¤ª || #allariaarathi #funny #trendingvideo #trending"/>
    <x v="124"/>
    <n v="4933966"/>
    <n v="19000"/>
    <n v="509"/>
    <n v="270"/>
    <n v="0.39539999999999997"/>
    <n v="18273.95"/>
    <s v="https://www.youtube.com/watch?v=YzZUcZjlUE4"/>
    <n v="2186"/>
  </r>
  <r>
    <e v="#NAME?"/>
    <s v="ðŸ˜²Short à¤¡à¤¾à¤²à¤¤à¥‡ à¤¹à¥€ 501% Viral ðŸ“ˆ| How to viral short video | Short video viral tips and tricks"/>
    <x v="77"/>
    <n v="60111"/>
    <n v="3200"/>
    <n v="3157"/>
    <n v="18"/>
    <n v="10.5754"/>
    <n v="3339.5"/>
    <s v="https://www.youtube.com/watch?v=-dGWxox788A"/>
    <n v="4854"/>
  </r>
  <r>
    <s v="LLlV8q6iWq4"/>
    <s v="Dad vs Timmy! Try Not to Laugh EDDIE MORA Funny Shorts! P2"/>
    <x v="127"/>
    <n v="561391"/>
    <n v="4000"/>
    <n v="177"/>
    <n v="19"/>
    <n v="0.74399999999999999"/>
    <n v="29546.89"/>
    <s v="https://www.youtube.com/watch?v=LLlV8q6iWq4"/>
    <n v="2444"/>
  </r>
  <r>
    <s v="_ss3ClwSy2Y"/>
    <s v="Long Slide Game With Cow Elephant Gorilla Hippopotamus Tiger - 3d Animal Game - Funny 3d Animals"/>
    <x v="137"/>
    <n v="11771019"/>
    <n v="44000"/>
    <n v="1897"/>
    <n v="127"/>
    <n v="0.38990000000000002"/>
    <n v="92685.19"/>
    <s v="https://www.youtube.com/watch?v=_ss3ClwSy2Y"/>
    <n v="138"/>
  </r>
  <r>
    <s v="8qQMPCGIGvU"/>
    <s v="BEST funniest ðŸ¤£videos compilation byðŸ¥° krishnaavyu â™¥ï¸"/>
    <x v="111"/>
    <n v="5968917"/>
    <n v="11000"/>
    <n v="108"/>
    <n v="234"/>
    <n v="0.18609999999999999"/>
    <n v="25508.19"/>
    <s v="https://www.youtube.com/watch?v=8qQMPCGIGvU"/>
    <n v="39"/>
  </r>
  <r>
    <s v="3NHftLP8hcg"/>
    <s v="LiDiRo reagiert auf Shorts #519 #lidiro #shorts"/>
    <x v="113"/>
    <n v="72019"/>
    <n v="1500"/>
    <n v="48"/>
    <n v="51"/>
    <n v="2.1494"/>
    <n v="1412.14"/>
    <s v="https://www.youtube.com/watch?v=3NHftLP8hcg"/>
    <n v="685"/>
  </r>
  <r>
    <s v="thK2ge6PPgI"/>
    <s v="Rich Squid Game Toy &amp; Poor Car - Homeless &amp; Rich Kids ðŸ˜€ðŸ‘§ðŸ»ðŸ¤ª Su Hao Linh Nhi #shorts By LNS vs SH"/>
    <x v="121"/>
    <n v="7268433"/>
    <n v="18000"/>
    <n v="124"/>
    <n v="1182"/>
    <n v="0.24940000000000001"/>
    <n v="6149.27"/>
    <s v="https://www.youtube.com/watch?v=thK2ge6PPgI"/>
    <n v="0"/>
  </r>
  <r>
    <s v="WXuVvtxtuv0"/>
    <s v="ðŸ‘‰à¤à¤¸à¤¾ USA Shorts YouTube à¤šà¥ˆà¤¨à¤² à¤¬à¤¨à¤¾à¤“ Video à¤¡à¤¾à¤²à¤¤à¥‡ à¤¹à¥€ à¤¹à¥‹à¤—à¤¾ VIRAL | New USA Channel Ideas | Spreading Gyan"/>
    <x v="97"/>
    <n v="359563"/>
    <n v="13000"/>
    <n v="1266"/>
    <n v="7"/>
    <n v="3.9676"/>
    <n v="51366.14"/>
    <s v="https://www.youtube.com/watch?v=WXuVvtxtuv0"/>
    <n v="3807"/>
  </r>
  <r>
    <s v="xIwlzNrBPDQ"/>
    <s v="Ek tuition wali didi aisi bhi ðŸ‘©â€ðŸ«ðŸ˜‚ #shorts #ytvideo #sejalgabavideo #tuition"/>
    <x v="40"/>
    <n v="12787260"/>
    <n v="35000"/>
    <n v="476"/>
    <n v="396"/>
    <n v="0.27739999999999998"/>
    <n v="32291.06"/>
    <s v="https://www.youtube.com/watch?v=xIwlzNrBPDQ"/>
    <n v="32"/>
  </r>
  <r>
    <s v="z9BZL4P-G6U"/>
    <s v="Devanshi ki new top videoðŸ˜²â¤ï¸ #shorts #ytshorts #foryou #trending #viralvideo"/>
    <x v="138"/>
    <n v="382785"/>
    <n v="678"/>
    <n v="46"/>
    <n v="18"/>
    <n v="0.18909999999999999"/>
    <n v="21265.83"/>
    <s v="https://www.youtube.com/watch?v=z9BZL4P-G6U"/>
    <n v="437"/>
  </r>
  <r>
    <s v="PkSONU3qkrM"/>
    <s v="ðŸ¥³ 16 à¤®à¤¿à¤¨à¤Ÿ à¤®à¥‡à¤‚ Short Viral ðŸ’¥ | short video viral tips and tricks | how to viral short video"/>
    <x v="114"/>
    <n v="68550"/>
    <n v="2400"/>
    <n v="798"/>
    <n v="115"/>
    <n v="4.6651999999999996"/>
    <n v="596.09"/>
    <s v="https://www.youtube.com/watch?v=PkSONU3qkrM"/>
    <n v="3477"/>
  </r>
  <r>
    <s v="58muUEOqfCo"/>
    <s v="Struggle Of Being The â€œ AVERAGE â€œ Siblingâ¤ï¸â€ðŸ©¹ | Raj Grover | #shorts"/>
    <x v="139"/>
    <n v="4278440"/>
    <n v="90000"/>
    <n v="3954"/>
    <n v="172"/>
    <n v="2.1960000000000002"/>
    <n v="24874.65"/>
    <s v="https://www.youtube.com/watch?v=58muUEOqfCo"/>
    <n v="136"/>
  </r>
  <r>
    <s v="wcYVLS0E1GE"/>
    <s v="The Shorts 1983  Comment Ca Va"/>
    <x v="140"/>
    <n v="8864793"/>
    <n v="45000"/>
    <n v="59"/>
    <n v="6728"/>
    <n v="0.50829999999999997"/>
    <n v="1317.6"/>
    <s v="https://www.youtube.com/watch?v=wcYVLS0E1GE&amp;list=RDwcYVLS0E1GE&amp;start_radio=1"/>
    <n v="29"/>
  </r>
  <r>
    <s v="5Vsg1_9Ff6I"/>
    <s v="*2 HOURS* The Best MARRK ADAMS Shorts Compilation #10 | Mark Adams  TikToks"/>
    <x v="134"/>
    <n v="6198556"/>
    <n v="34000"/>
    <n v="1537"/>
    <n v="571"/>
    <n v="0.57330000000000003"/>
    <n v="10855.61"/>
    <s v="https://www.youtube.com/watch?v=5Vsg1_9Ff6I"/>
    <n v="362"/>
  </r>
  <r>
    <s v="TRJRgpPXVKw"/>
    <s v="New funny 3D effect animation short videos of Ifraz ðŸ˜‚ðŸ¥³#youtubeshorts #funny #shorts"/>
    <x v="141"/>
    <n v="5239532"/>
    <n v="19000"/>
    <n v="129"/>
    <n v="830"/>
    <n v="0.36509999999999998"/>
    <n v="6312.69"/>
    <s v="https://www.youtube.com/watch?v=TRJRgpPXVKw"/>
    <n v="37"/>
  </r>
  <r>
    <s v="goNRAtKFfzY"/>
    <s v="à°¤à±Šà°²à°¿ à°ªà±à°°à±‡à°® â¤ï¸ | The painful Love Story ðŸ’”| Part-155 #emotional #love #truelove #family #shorts"/>
    <x v="105"/>
    <n v="202795"/>
    <n v="9000"/>
    <n v="152"/>
    <n v="52"/>
    <n v="4.5129000000000001"/>
    <n v="3899.9"/>
    <s v="https://www.youtube.com/watch?v=goNRAtKFfzY"/>
    <n v="1108"/>
  </r>
  <r>
    <s v="VZSOeAbIXco"/>
    <s v="Try Not To Laugh Watching Sotey Yon Shorts Compilation | Sotey Yon *CRAZY CRUSH* Shorts 2025"/>
    <x v="142"/>
    <n v="3135424"/>
    <n v="18000"/>
    <n v="1852"/>
    <n v="333"/>
    <n v="0.63319999999999999"/>
    <n v="9415.69"/>
    <s v="https://www.youtube.com/watch?v=VZSOeAbIXco"/>
    <n v="354"/>
  </r>
  <r>
    <s v="YY71mcopces"/>
    <s v="Shanu kay ghar kuku ðŸ“ aa gye ðŸ˜± #funny #comedy #youtubeshorts #youtubeshorts #shorts #vlog"/>
    <x v="75"/>
    <n v="11883396"/>
    <n v="19000"/>
    <n v="309"/>
    <n v="199"/>
    <n v="0.16250000000000001"/>
    <n v="59715.56"/>
    <s v="https://www.youtube.com/watch?v=YY71mcopces"/>
    <n v="0"/>
  </r>
  <r>
    <s v="S17yfjjVc7s"/>
    <s v="Kumpulan video shorts kocak dan gokil @Ryncesryana part 106."/>
    <x v="143"/>
    <n v="575845"/>
    <n v="532"/>
    <n v="21"/>
    <n v="128"/>
    <n v="9.6000000000000002E-2"/>
    <n v="4498.79"/>
    <s v="https://www.youtube.com/watch?v=S17yfjjVc7s"/>
    <n v="0"/>
  </r>
  <r>
    <s v="eakW_OTQxIA"/>
    <s v="Try Not to Laugh Watching the Most Viewed RYAN HD LOMBARD Teachers vs Students Funny School Shorts 1"/>
    <x v="127"/>
    <n v="1720115"/>
    <n v="20000"/>
    <n v="442"/>
    <n v="209"/>
    <n v="1.1883999999999999"/>
    <n v="8230.2199999999993"/>
    <s v="https://www.youtube.com/watch?v=eakW_OTQxIA"/>
    <n v="1110"/>
  </r>
  <r>
    <s v="d_ZAd3rLJ_Y"/>
    <s v="Arrange Marriage || A Short Film By Entertaining Tuber"/>
    <x v="144"/>
    <n v="3226467"/>
    <n v="18000"/>
    <n v="1746"/>
    <n v="71"/>
    <n v="0.61199999999999999"/>
    <n v="45443.199999999997"/>
    <s v="https://www.youtube.com/watch?v=d_ZAd3rLJ_Y"/>
    <n v="733"/>
  </r>
  <r>
    <s v="I11Y62Q-V4k"/>
    <s v="Shanu nay diya baba ko dhoka ðŸ˜± #funny #comedy #youtubeshorts #shorts #vlog g"/>
    <x v="75"/>
    <n v="1430504"/>
    <n v="2600"/>
    <n v="29"/>
    <n v="170"/>
    <n v="0.18379999999999999"/>
    <n v="8414.73"/>
    <s v="https://www.youtube.com/watch?v=I11Y62Q-V4k"/>
    <n v="0"/>
  </r>
  <r>
    <s v="p2NsyJTGQGk"/>
    <s v="Different typesðŸ–Šï¸ðŸ˜‚  Shorts Collection | Velujazz"/>
    <x v="145"/>
    <n v="2868495"/>
    <n v="9000"/>
    <n v="103"/>
    <n v="305"/>
    <n v="0.31730000000000003"/>
    <n v="9404.9"/>
    <s v="https://www.youtube.com/watch?v=p2NsyJTGQGk"/>
    <n v="111"/>
  </r>
  <r>
    <s v="g4o2S70hF2A"/>
    <s v="ðŸ¤« 9 Sec. à¤®à¥‡à¤‚ Short Viral âœ…| How To Viral Short Video On Youtube | Shorts Video Viral tips and tricks"/>
    <x v="146"/>
    <n v="4140147"/>
    <n v="207000"/>
    <n v="58490"/>
    <n v="364"/>
    <n v="6.4126000000000003"/>
    <n v="11374.03"/>
    <s v="https://www.youtube.com/watch?v=g4o2S70hF2A"/>
    <n v="3062"/>
  </r>
  <r>
    <s v="ItZ_DQhuVqs"/>
    <s v="Karihaiya Dole #Goldi Yadav #Kajal Tripathi | à¤•à¤°à¤¿à¤¹à¤ˆà¤¯à¤¾ à¤¡à¥‹à¤²à¥‡ #song #bhojpuri #shorts #video #shorts"/>
    <x v="147"/>
    <n v="670295"/>
    <n v="1600"/>
    <n v="46"/>
    <n v="306"/>
    <n v="0.24560000000000001"/>
    <n v="2190.5100000000002"/>
    <s v="https://www.youtube.com/watch?v=ItZ_DQhuVqs&amp;list=RDItZ_DQhuVqs&amp;start_radio=1"/>
    <n v="1014"/>
  </r>
  <r>
    <s v="MyMl6YjmTBU"/>
    <s v="Adhura Ae Raja #Sapna Chauhan #Goldi Yadav | à¤…à¤§à¥à¤°à¤¾ à¤ à¤°à¤¾à¤œà¤¾ #bhojpurisong #shorts #video 2026"/>
    <x v="147"/>
    <n v="36521"/>
    <n v="829"/>
    <n v="20"/>
    <n v="1"/>
    <n v="2.3247"/>
    <n v="36521"/>
    <s v="https://www.youtube.com/watch?v=MyMl6YjmTBU&amp;list=RDMyMl6YjmTBU&amp;start_radio=1"/>
    <n v="1651"/>
  </r>
  <r>
    <s v="hZoKXnSvR20"/>
    <s v="Love Between Lines || Varsha Dsouza || Latest Telugu Short Films || Infinitum Media"/>
    <x v="148"/>
    <n v="105502"/>
    <n v="3100"/>
    <n v="72"/>
    <n v="2"/>
    <n v="3.0066000000000002"/>
    <n v="52751"/>
    <s v="https://www.youtube.com/watch?v=hZoKXnSvR20"/>
    <n v="504"/>
  </r>
  <r>
    <s v="DJWrAUzGDoE"/>
    <s v="LiDiRo reagiert auf Shorts #457 #lidiro #shorts"/>
    <x v="113"/>
    <n v="77252"/>
    <n v="1000"/>
    <n v="60"/>
    <n v="119"/>
    <n v="1.3721000000000001"/>
    <n v="649.17999999999995"/>
    <s v="https://www.youtube.com/watch?v=DJWrAUzGDoE"/>
    <n v="625"/>
  </r>
  <r>
    <s v="XXMqAsfybO0"/>
    <s v="REACTING TO MY 6 YEAR OLD DAUGHTER'S VIRAL YOUTUBE SHORTS"/>
    <x v="149"/>
    <n v="400898"/>
    <n v="4000"/>
    <n v="253"/>
    <n v="144"/>
    <n v="1.0609"/>
    <n v="2784.01"/>
    <s v="https://www.youtube.com/watch?v=XXMqAsfybO0"/>
    <n v="537"/>
  </r>
  <r>
    <s v="2k7r0CR8vKM"/>
    <s v="NEWðŸ˜±ðŸ‘»â¤ï¸BETER BÃ–CÃœK NEW VÄ°DEO #shorts TikTok"/>
    <x v="85"/>
    <n v="10376463"/>
    <n v="44000"/>
    <n v="236"/>
    <n v="1057"/>
    <n v="0.42630000000000001"/>
    <n v="9816.9"/>
    <s v="https://www.youtube.com/watch?v=2k7r0CR8vKM"/>
    <n v="0"/>
  </r>
  <r>
    <s v="klDRTZAZG10"/>
    <s v="Kaali MataðŸŒŸðŸ›•Look ChallengeðŸŒ¸ðŸ™Prashant Sharma #shorts #ytshorts #funnyshorts #kalipuja #kali"/>
    <x v="150"/>
    <n v="3332899"/>
    <n v="9100"/>
    <n v="0"/>
    <n v="535"/>
    <n v="0.27300000000000002"/>
    <n v="6229.72"/>
    <s v="https://www.youtube.com/watch?v=klDRTZAZG10"/>
    <n v="592"/>
  </r>
  <r>
    <s v="cVV_xzT0Rp8"/>
    <s v="Young Sheldon Cast: Then And Now 2025 | Real Name, Age &amp; Life Partners"/>
    <x v="151"/>
    <n v="1418689"/>
    <n v="8700"/>
    <n v="299"/>
    <n v="145"/>
    <n v="0.63429999999999997"/>
    <n v="9784.06"/>
    <s v="https://www.youtube.com/watch?v=cVV_xzT0Rp8"/>
    <n v="1166"/>
  </r>
  <r>
    <s v="7T0JWRqXTPc"/>
    <s v="LiDiRo reagiert auf Shorts #475 #lidiro #shorts"/>
    <x v="113"/>
    <n v="18314"/>
    <n v="587"/>
    <n v="17"/>
    <n v="97"/>
    <n v="3.298"/>
    <n v="188.8"/>
    <s v="https://www.youtube.com/watch?v=7T0JWRqXTPc"/>
    <n v="567"/>
  </r>
  <r>
    <s v="DnpS4ZvlmZs"/>
    <s v="LiDiRo reagiert auf Shorts #486 #lidiro #shorts"/>
    <x v="113"/>
    <n v="141981"/>
    <n v="2400"/>
    <n v="102"/>
    <n v="84"/>
    <n v="1.7622"/>
    <n v="1690.25"/>
    <s v="https://www.youtube.com/watch?v=DnpS4ZvlmZs"/>
    <n v="653"/>
  </r>
  <r>
    <s v="aqIFJycYAJs"/>
    <s v="Shanu vs aali kon jetay ga ðŸ¤” #trending #funny #youtubeshorts #shorts #vlog"/>
    <x v="75"/>
    <n v="1021705"/>
    <n v="3000"/>
    <n v="25"/>
    <n v="420"/>
    <n v="0.29609999999999997"/>
    <n v="2432.63"/>
    <s v="https://www.youtube.com/watch?v=aqIFJycYAJs"/>
    <n v="0"/>
  </r>
  <r>
    <s v="y7vrtbNrWSY"/>
    <s v="One day of Marriage Vs one Year of marriage ðŸ˜…ðŸ¤© || #allariaarathi #aftermarriage"/>
    <x v="124"/>
    <n v="573102"/>
    <n v="4000"/>
    <n v="215"/>
    <n v="109"/>
    <n v="0.73550000000000004"/>
    <n v="5257.82"/>
    <s v="https://www.youtube.com/watch?v=y7vrtbNrWSY"/>
    <n v="2200"/>
  </r>
  <r>
    <s v="MyRr0YXhvY0"/>
    <s v="Most Memorable Day with our kidsðŸ˜ | Orey fun dhaðŸ˜œ #shorts #funny #love | With Love Nagaraj Sangeetha"/>
    <x v="152"/>
    <n v="2400288"/>
    <n v="4000"/>
    <n v="0"/>
    <n v="873"/>
    <n v="0.1666"/>
    <n v="2749.47"/>
    <s v="https://www.youtube.com/watch?v=MyRr0YXhvY0"/>
    <n v="454"/>
  </r>
  <r>
    <s v="jGkj5Wq31AY"/>
    <s v="LOS MEJORES SHORTS DE LA SEMANA 2"/>
    <x v="153"/>
    <n v="11003622"/>
    <n v="80000"/>
    <n v="1193"/>
    <n v="360"/>
    <n v="0.7379"/>
    <n v="30565.62"/>
    <s v="https://www.youtube.com/watch?v=jGkj5Wq31AY"/>
    <n v="74"/>
  </r>
  <r>
    <s v="RYjGIePJgiQ"/>
    <s v="Exams School VS College ðŸ˜‚ðŸ¤£ || Allari Aarathi Videos || Comedy Contents #trending #exams"/>
    <x v="124"/>
    <n v="817342"/>
    <n v="4400"/>
    <n v="220"/>
    <n v="25"/>
    <n v="0.56520000000000004"/>
    <n v="32693.68"/>
    <s v="https://www.youtube.com/watch?v=RYjGIePJgiQ"/>
    <n v="2182"/>
  </r>
  <r>
    <s v="DNqDFOHwdWM"/>
    <s v="Try Not to Laugh! Eddie Mora &amp; Mark Adams NEWEST Shorts 2026! P1"/>
    <x v="127"/>
    <n v="645877"/>
    <n v="3300"/>
    <n v="181"/>
    <n v="74"/>
    <n v="0.53900000000000003"/>
    <n v="8728.07"/>
    <s v="https://www.youtube.com/watch?v=DNqDFOHwdWM"/>
    <n v="3550"/>
  </r>
  <r>
    <s v="Efbh1WyHZnc"/>
    <s v="Viral shorts of Ifraz when he was just one and half year oldðŸ¥°ðŸ˜,how cute  mashallah ðŸ˜ #youtubeshorts"/>
    <x v="141"/>
    <n v="3990677"/>
    <n v="13000"/>
    <n v="83"/>
    <n v="831"/>
    <n v="0.32779999999999998"/>
    <n v="4802.26"/>
    <s v="https://www.youtube.com/watch?v=Efbh1WyHZnc"/>
    <n v="37"/>
  </r>
  <r>
    <s v="yfuj4KvLsg4"/>
    <s v="Bolalikda nimalar boâ€™lganðŸ˜‚ðŸ¥°â¤ï¸ #shorts #zeboraximova"/>
    <x v="154"/>
    <n v="7672664"/>
    <n v="11000"/>
    <n v="203"/>
    <n v="728"/>
    <n v="0.14599999999999999"/>
    <n v="10539.37"/>
    <s v="https://www.youtube.com/watch?v=yfuj4KvLsg4"/>
    <n v="0"/>
  </r>
  <r>
    <s v="o7GJzPhvOO0"/>
    <s v="Try Not to Laugh! Mark Adams Teacher vs Marrk Shorts in 2025"/>
    <x v="127"/>
    <n v="3336930"/>
    <n v="16000"/>
    <n v="1103"/>
    <n v="170"/>
    <n v="0.51249999999999996"/>
    <n v="19629"/>
    <s v="https://www.youtube.com/watch?v=o7GJzPhvOO0"/>
    <n v="1105"/>
  </r>
  <r>
    <s v="Z2QqtkasThs"/>
    <s v="The WEIRDEST PENS in the worldðŸ«£ #unboxing #funny #beauty #haul #shorts"/>
    <x v="155"/>
    <n v="141287002"/>
    <n v="1100000"/>
    <n v="2781"/>
    <n v="352"/>
    <n v="0.78049999999999997"/>
    <n v="401383.53"/>
    <s v="https://www.youtube.com/shorts/Z2QqtkasThs"/>
    <n v="0"/>
  </r>
  <r>
    <s v="OzK3PNF0WqU"/>
    <s v="EP3 | GIANT superheroes ðŸ˜± ðŸ’¥ | Remix2 Avengers vs DC - All Marvel Characters #avengers #shorts"/>
    <x v="156"/>
    <n v="21347502"/>
    <n v="13000"/>
    <n v="134"/>
    <n v="291"/>
    <n v="6.1499999999999999E-2"/>
    <n v="73359.11"/>
    <s v="https://www.youtube.com/watch?v=OzK3PNF0WqU"/>
    <n v="703"/>
  </r>
  <r>
    <s v="Zc3ac7EWdbE"/>
    <s v="How to Escape  0, 15K and 30K View Jail - On YouTube Shorts"/>
    <x v="157"/>
    <n v="406412"/>
    <n v="45000"/>
    <n v="9053"/>
    <n v="220"/>
    <n v="13.3001"/>
    <n v="1847.33"/>
    <s v="https://www.youtube.com/watch?v=Zc3ac7EWdbE"/>
    <n v="2183"/>
  </r>
  <r>
    <s v="m9qzoT2MjeA"/>
    <s v="LiDiRo reagiert auf Shorts #465 #lidiro #shorts"/>
    <x v="113"/>
    <n v="37120"/>
    <n v="817"/>
    <n v="51"/>
    <n v="110"/>
    <n v="2.3384"/>
    <n v="337.45"/>
    <s v="https://www.youtube.com/watch?v=m9qzoT2MjeA"/>
    <n v="624"/>
  </r>
  <r>
    <s v="XXwc4ch2nq8"/>
    <s v="LiDiRo reagiert auf Shorts #450 #lidiro #shorts"/>
    <x v="113"/>
    <n v="27085"/>
    <n v="678"/>
    <n v="35"/>
    <n v="127"/>
    <n v="2.6324999999999998"/>
    <n v="213.27"/>
    <s v="https://www.youtube.com/watch?v=XXwc4ch2nq8"/>
    <n v="571"/>
  </r>
  <r>
    <s v="_W0xAcWzqDw"/>
    <s v="LiDiRo reagiert auf Shorts #467 #lidiro #shorts"/>
    <x v="113"/>
    <n v="15761"/>
    <n v="393"/>
    <n v="29"/>
    <n v="107"/>
    <n v="2.6775000000000002"/>
    <n v="147.30000000000001"/>
    <s v="https://www.youtube.com/watch?v=_W0xAcWzqDw"/>
    <n v="629"/>
  </r>
  <r>
    <s v="AV_uAuExN1I"/>
    <s v="Car Garage Adventure with Chris - Learn colors for kids"/>
    <x v="158"/>
    <n v="6989760"/>
    <n v="19000"/>
    <n v="0"/>
    <n v="715"/>
    <n v="0.27179999999999999"/>
    <n v="9775.89"/>
    <s v="https://www.youtube.com/watch?v=AV_uAuExN1I"/>
    <n v="402"/>
  </r>
  <r>
    <s v="DrgWFt7m9sA"/>
    <s v="à®¨à¯€ à®•à®¾à®Ÿà¯à®Ÿà¯à®®à¯ à®ªà®¾à®šà®¤à¯à®¤à¯à®•à¯à®•à¯ à®¤à¯†à®¯à¯à®µà®™à¯à®•à®³à¯ à®ˆà®Ÿà¯ à®‡à®²à¯à®²à¯ˆðŸ¥²ðŸ˜ #shorts #love"/>
    <x v="152"/>
    <n v="10839758"/>
    <n v="33000"/>
    <n v="0"/>
    <n v="1299"/>
    <n v="0.3044"/>
    <n v="8344.69"/>
    <s v="https://www.youtube.com/watch?v=DrgWFt7m9sA"/>
    <n v="57"/>
  </r>
  <r>
    <s v="TtlCTNlD6KQ"/>
    <s v="ðŸ¥³501% YouTube Short Viral ðŸ“ˆ| short video viral tips and tricks | how to viral short video on youtube"/>
    <x v="77"/>
    <n v="88567"/>
    <n v="2700"/>
    <n v="1566"/>
    <n v="165"/>
    <n v="4.8167"/>
    <n v="536.77"/>
    <s v="https://www.youtube.com/watch?v=TtlCTNlD6KQ"/>
    <n v="4859"/>
  </r>
  <r>
    <s v="44kPk_QBfYQ"/>
    <s v="LiDiRo reagiert auf Shorts #437 #lidiro #shorts"/>
    <x v="113"/>
    <n v="23928"/>
    <n v="570"/>
    <n v="40"/>
    <n v="141"/>
    <n v="2.5493000000000001"/>
    <n v="169.7"/>
    <s v="https://www.youtube.com/watch?v=44kPk_QBfYQ"/>
    <n v="573"/>
  </r>
  <r>
    <s v="ojqfHOPFtjA"/>
    <s v="I Tried YouTube Shorts For 30 Days | 10 Million Views in 30 days ðŸ˜Ž | ( Shocking Result ðŸ˜ )"/>
    <x v="159"/>
    <n v="139021"/>
    <n v="4000"/>
    <n v="2208"/>
    <n v="169"/>
    <n v="4.4654999999999996"/>
    <n v="822.61"/>
    <s v="https://www.youtube.com/watch?v=ojqfHOPFtjA"/>
    <n v="2125"/>
  </r>
  <r>
    <s v="uNiZuwiCm9c"/>
    <s v="LiDiRo reagiert auf Shorts #509 #lidiro #shorts"/>
    <x v="113"/>
    <n v="18131"/>
    <n v="487"/>
    <n v="38"/>
    <n v="61"/>
    <n v="2.8956"/>
    <n v="297.23"/>
    <s v="https://www.youtube.com/watch?v=uNiZuwiCm9c"/>
    <n v="683"/>
  </r>
  <r>
    <s v="xNLnFzUMJp8"/>
    <s v="Hamari pehli car shanu ka birthday gift ðŸŽ #trending #vlog #shorts #youtubeshorts"/>
    <x v="75"/>
    <n v="5051087"/>
    <n v="18000"/>
    <n v="367"/>
    <n v="455"/>
    <n v="0.36359999999999998"/>
    <n v="11101.29"/>
    <s v="https://www.youtube.com/watch?v=xNLnFzUMJp8"/>
    <n v="0"/>
  </r>
  <r>
    <s v="rKXI_w476WI"/>
    <s v="YouTube Short 9 à¤¸à¥‡à¤•à¥‡à¤‚à¤¡ à¤®à¥‡à¤‚ ViralðŸ”¥| How To Viral Short Video On YouTube | Short Viral Tips and Tricks"/>
    <x v="77"/>
    <n v="1933376"/>
    <n v="50000"/>
    <n v="14893"/>
    <n v="346"/>
    <n v="3.3565"/>
    <n v="5587.79"/>
    <s v="https://www.youtube.com/watch?v=rKXI_w476WI"/>
    <n v="4682"/>
  </r>
  <r>
    <s v="d4kGbi7N7JA"/>
    <s v="LiDiRo reagiert auf Shorts #500 #lidiro #shorts"/>
    <x v="113"/>
    <n v="35083"/>
    <n v="867"/>
    <n v="42"/>
    <n v="70"/>
    <n v="2.5910000000000002"/>
    <n v="501.19"/>
    <s v="https://www.youtube.com/watch?v=d4kGbi7N7JA"/>
    <n v="716"/>
  </r>
  <r>
    <s v="MnUKprnjsac"/>
    <s v="kajal à¤•à¥€ à¤¦à¤¿à¤µà¤¾à¤²à¥€ || golu kajal soni new shorts comedy films | viral comedy flims  #kajalsoni"/>
    <x v="160"/>
    <n v="691887"/>
    <n v="0"/>
    <n v="62"/>
    <n v="154"/>
    <n v="8.9999999999999993E-3"/>
    <n v="4492.7700000000004"/>
    <s v="https://www.youtube.com/watch?v=MnUKprnjsac"/>
    <n v="2044"/>
  </r>
  <r>
    <s v="YtUH7IY1cak"/>
    <s v="LOS MEJORES SHORTS DE LA SEMANA 11"/>
    <x v="153"/>
    <n v="5272329"/>
    <n v="23000"/>
    <n v="765"/>
    <n v="234"/>
    <n v="0.45069999999999999"/>
    <n v="22531.32"/>
    <s v="https://www.youtube.com/watch?v=YtUH7IY1cak"/>
    <n v="269"/>
  </r>
  <r>
    <s v="cigzwlK3u2g"/>
    <s v="CÃ³mo Crear YouTube Shorts Virales con IA GRATIS e Ilimitado"/>
    <x v="161"/>
    <n v="204505"/>
    <n v="10000"/>
    <n v="607"/>
    <n v="226"/>
    <n v="5.1867000000000001"/>
    <n v="904.89"/>
    <s v="https://www.youtube.com/watch?v=cigzwlK3u2g"/>
    <n v="1824"/>
  </r>
  <r>
    <s v="q-7TKF6V1To"/>
    <s v="8 Spider-Man Team vs TREASURE SERBIAN Lady Game on Abandoned Beach !! ( Scary Mystery Action POV )"/>
    <x v="162"/>
    <n v="17406466"/>
    <n v="60000"/>
    <n v="419"/>
    <n v="297"/>
    <n v="0.34710000000000002"/>
    <n v="58607.63"/>
    <s v="https://www.youtube.com/watch?v=q-7TKF6V1To"/>
    <n v="366"/>
  </r>
  <r>
    <s v="1lwcDeiySzQ"/>
    <s v="ÐŸÐ ÐžÐ›Ð˜Ð¡Ð¢ÐÐ› Ð”Ð•Ð¡Ð¯Ð¢Ð¬ Ð¢Ð«Ð¡Ð¯Ð§ Shorts! ÐœÐ•ÐÐ¯ Ð—ÐÐ‘Ð›ÐžÐšÐ˜Ð ÐžÐ’ÐÐ› Ð®Ð¢Ð£Ð‘(ÐÐ• Ð¨Ð£Ð¢ÐšÐ) Ð¨ÐžÐ Ð¢Ð¡ Ð§Ð•Ð›Ð›Ð•ÐÐ”Ð–!"/>
    <x v="163"/>
    <n v="3962607"/>
    <n v="56000"/>
    <n v="6156"/>
    <n v="402"/>
    <n v="1.5686"/>
    <n v="9857.23"/>
    <s v="https://www.youtube.com/watch?v=1lwcDeiySzQ"/>
    <n v="461"/>
  </r>
  <r>
    <s v="7wYb5Zv2K4M"/>
    <s v="Doctor Tan is taking Pinki away, Please helppp ðŸ˜±ðŸ†˜| Incredibox Sprunki In Real Life"/>
    <x v="164"/>
    <n v="5230229"/>
    <n v="9400"/>
    <n v="108"/>
    <n v="323"/>
    <n v="0.18179999999999999"/>
    <n v="16192.66"/>
    <s v="https://www.youtube.com/watch?v=7wYb5Zv2K4M"/>
    <n v="573"/>
  </r>
  <r>
    <s v="tRArnar97q8"/>
    <s v="à¤œà¤²à¥à¤¦à¥€ à¤ªà¤•à¤¡à¤¼à¥‹ Viral Trend ðŸ”¥ à¤à¤¸à¤¾ Shorts à¤¡à¤²à¤¤à¥‡ à¤¹à¥€ Viral à¤¹à¥‹à¤—à¤¾ âœ…  Youtube Growth Secrets 2025 ðŸš€ Tech Aakash"/>
    <x v="114"/>
    <n v="577005"/>
    <n v="14000"/>
    <n v="1729"/>
    <n v="164"/>
    <n v="2.726"/>
    <n v="3518.32"/>
    <s v="https://www.youtube.com/watch?v=tRArnar97q8"/>
    <n v="1985"/>
  </r>
  <r>
    <s v="rvPiCpyW17M"/>
    <s v="Whale Valley | A Short Film by GuÃ°mundur Arnar GuÃ°mundsson"/>
    <x v="90"/>
    <n v="210148"/>
    <n v="2300"/>
    <n v="0"/>
    <n v="3118"/>
    <n v="1.0945"/>
    <n v="67.400000000000006"/>
    <s v="https://www.youtube.com/watch?v=rvPiCpyW17M"/>
    <n v="520"/>
  </r>
  <r>
    <s v="ycyryfTLDdY"/>
    <s v="Top New Funniest Comedy Video ðŸ˜‚ Most Watch Viral Funny Video 2022 Episode 84 By my family"/>
    <x v="165"/>
    <n v="724866455"/>
    <n v="1700000"/>
    <n v="13879"/>
    <n v="1447"/>
    <n v="0.2364"/>
    <n v="500944.34"/>
    <s v="https://www.youtube.com/watch?v=ycyryfTLDdY"/>
    <n v="1488"/>
  </r>
  <r>
    <s v="es2iQ7Hc8Uo"/>
    <s v="Worldâ€™s FUNNIEST YouTube Shorts!"/>
    <x v="4"/>
    <n v="1668886"/>
    <n v="8900"/>
    <n v="263"/>
    <n v="127"/>
    <n v="0.54900000000000004"/>
    <n v="13140.83"/>
    <s v="https://www.youtube.com/watch?v=es2iQ7Hc8Uo"/>
    <n v="1262"/>
  </r>
  <r>
    <s v="zqzR4fh0vD0"/>
    <s v="25 Sad Songs for Youtube Shorts / Tiktok / Reels"/>
    <x v="166"/>
    <n v="267925"/>
    <n v="2800"/>
    <n v="72"/>
    <n v="873"/>
    <n v="1.0719000000000001"/>
    <n v="306.89999999999998"/>
    <s v="https://www.youtube.com/watch?v=zqzR4fh0vD0&amp;list=RDzqzR4fh0vD0&amp;start_radio=1"/>
    <n v="2181"/>
  </r>
  <r>
    <s v="MNR1AsWw3mg"/>
    <s v="Kumpulan video shorts kocak dan gokil @Ryncesryana part 83."/>
    <x v="143"/>
    <n v="6555318"/>
    <n v="9900"/>
    <n v="73"/>
    <n v="553"/>
    <n v="0.15210000000000001"/>
    <n v="11854.1"/>
    <s v="https://www.youtube.com/watch?v=MNR1AsWw3mg"/>
    <n v="0"/>
  </r>
  <r>
    <s v="phd6U9OYqJw"/>
    <s v="Which LABUBU are YOU Challenge!!ðŸ«¢â˜ï¸ðŸŒˆðŸ‘‘â‰ï¸ #Shorts"/>
    <x v="167"/>
    <n v="72043453"/>
    <n v="276000"/>
    <n v="3507"/>
    <n v="236"/>
    <n v="0.38800000000000001"/>
    <n v="305268.87"/>
    <s v="https://www.youtube.com/shorts/phd6U9OYqJw"/>
    <n v="535"/>
  </r>
  <r>
    <s v="sb6X_npnTi8"/>
    <s v="SIMPLE Act Of Kindness That Will Make You CryðŸ˜­ #humanity #prankvideo #video #mrbeast #trends #shorts"/>
    <x v="168"/>
    <n v="1431284"/>
    <n v="35000"/>
    <n v="5133"/>
    <n v="190"/>
    <n v="2.8039999999999998"/>
    <n v="7533.07"/>
    <s v="https://www.youtube.com/watch?v=sb6X_npnTi8"/>
    <n v="1631"/>
  </r>
  <r>
    <s v="pYiFYRMtLL4"/>
    <s v="Suprit Banaa Shaitan Part-2 || Suraj actor short film / #shortfilm #surajactor #shaitan"/>
    <x v="169"/>
    <n v="1575632"/>
    <n v="4600"/>
    <n v="60"/>
    <n v="14"/>
    <n v="0.29580000000000001"/>
    <n v="112545.14"/>
    <s v="https://www.youtube.com/watch?v=pYiFYRMtLL4"/>
    <n v="539"/>
  </r>
  <r>
    <s v="9ob69_zi_84"/>
    <s v="Kumpulan video shorts kocak dan gokil @Ryncesryana part 103."/>
    <x v="143"/>
    <n v="2034648"/>
    <n v="1400"/>
    <n v="15"/>
    <n v="192"/>
    <n v="6.9500000000000006E-2"/>
    <n v="10597.12"/>
    <s v="https://www.youtube.com/watch?v=9ob69_zi_84"/>
    <n v="0"/>
  </r>
  <r>
    <s v="EQ73E0UlPDo"/>
    <s v="isi kulkas dengan permen lunak viral - tiktok Susanto Gouw #shorts"/>
    <x v="170"/>
    <n v="4044150"/>
    <n v="7900"/>
    <n v="123"/>
    <n v="1233"/>
    <n v="0.19839999999999999"/>
    <n v="3279.93"/>
    <s v="https://www.youtube.com/watch?v=EQ73E0UlPDo"/>
    <n v="0"/>
  </r>
  <r>
    <s v="zrhf0gFVbpQ"/>
    <s v="Mening onam ðŸ˜‚  Liil Khuramov top vinelar to'plami ðŸ”¥#liilkhuramov #shorts #vines"/>
    <x v="171"/>
    <n v="19218556"/>
    <n v="67000"/>
    <n v="3026"/>
    <n v="906"/>
    <n v="0.3644"/>
    <n v="21212.53"/>
    <s v="https://www.youtube.com/watch?v=zrhf0gFVbpQ"/>
    <n v="212"/>
  </r>
  <r>
    <s v="fO0RgZ0C1Jo"/>
    <s v="Smart appliances, new gadgets, versatileutensils, toolitems #funny #shorts"/>
    <x v="172"/>
    <n v="3536"/>
    <n v="0"/>
    <n v="0"/>
    <n v="1"/>
    <n v="0"/>
    <n v="3536"/>
    <s v="https://www.youtube.com/watch?v=fO0RgZ0C1Jo"/>
    <n v="74"/>
  </r>
  <r>
    <s v="2huKjxG---g"/>
    <s v="kumpulan video shorts kocak dan gokil @Ryncesryana part 76."/>
    <x v="143"/>
    <n v="11002399"/>
    <n v="11000"/>
    <n v="108"/>
    <n v="638"/>
    <n v="0.10100000000000001"/>
    <n v="17245.14"/>
    <s v="https://www.youtube.com/watch?v=2huKjxG---g"/>
    <n v="0"/>
  </r>
  <r>
    <s v="BOX5N9Z5gEM"/>
    <s v="0 views problem on youtube shorts ðŸ˜­ shorts par views kaise badhaye || shorts viral trick"/>
    <x v="173"/>
    <n v="1475650"/>
    <n v="27000"/>
    <n v="3725"/>
    <n v="1009"/>
    <n v="2.0821000000000001"/>
    <n v="1462.49"/>
    <s v="https://www.youtube.com/watch?v=BOX5N9Z5gEM"/>
    <n v="1829"/>
  </r>
  <r>
    <s v="QmexVFsMwgc"/>
    <s v="Stanleyâ€™s on ðŸ’¯ #shorts"/>
    <x v="174"/>
    <n v="236304113"/>
    <n v="2400000"/>
    <n v="18259"/>
    <n v="755"/>
    <n v="1.0234000000000001"/>
    <n v="312985.58"/>
    <s v="https://www.youtube.com/shorts/QmexVFsMwgc"/>
    <n v="0"/>
  </r>
  <r>
    <s v="9FDVvWR91ww"/>
    <s v="Sister love ðŸ’• #shorts"/>
    <x v="175"/>
    <n v="2138155337"/>
    <n v="22000000"/>
    <n v="0"/>
    <n v="877"/>
    <n v="1.0288999999999999"/>
    <n v="2438033.4500000002"/>
    <s v="https://www.youtube.com/shorts/9FDVvWR91ww"/>
    <n v="0"/>
  </r>
  <r>
    <s v="jup5dxcWNUM"/>
    <s v="BEST slime video on YouTube! #shorts"/>
    <x v="36"/>
    <n v="3913060"/>
    <n v="25000"/>
    <n v="1021"/>
    <n v="166"/>
    <n v="0.66500000000000004"/>
    <n v="23572.65"/>
    <s v="https://www.youtube.com/shorts/jup5dxcWNUM"/>
    <n v="0"/>
  </r>
  <r>
    <s v="47NM_WcNPtM"/>
    <s v="She Wears WRONG Slippers! ðŸ¤£ #funny #shorts"/>
    <x v="176"/>
    <n v="243828452"/>
    <n v="932000"/>
    <n v="764"/>
    <n v="199"/>
    <n v="0.38250000000000001"/>
    <n v="1225268.6000000001"/>
    <s v="https://www.youtube.com/shorts/47NM_WcNPtM"/>
    <n v="659"/>
  </r>
  <r>
    <s v="GJxIUtIlRGs"/>
    <s v="â€œjust checking it was meâ€œ - Salish | #crush #salishmatter #youtubeshorts #shorts #viralvideo #ship"/>
    <x v="177"/>
    <n v="5786058"/>
    <n v="116000"/>
    <n v="1216"/>
    <n v="218"/>
    <n v="2.0257999999999998"/>
    <n v="26541.55"/>
    <s v="https://www.youtube.com/shorts/GJxIUtIlRGs"/>
    <n v="0"/>
  </r>
  <r>
    <s v="NX1dk_JHHaA"/>
    <s v="JUICY DROP GUMMY STIX #shorts #candy #asmr"/>
    <x v="178"/>
    <n v="33791641"/>
    <n v="345000"/>
    <n v="1155"/>
    <n v="1139"/>
    <n v="1.0244"/>
    <n v="29667.81"/>
    <s v="https://www.youtube.com/shorts/NX1dk_JHHaA"/>
    <n v="42"/>
  </r>
  <r>
    <s v="JypQdducDh0"/>
    <s v="ASMR PRINCESS SELF CARE PT. 1 ðŸ’“ðŸŽ€ #selfcare #princess #asmr #shorts"/>
    <x v="179"/>
    <n v="12845998"/>
    <n v="291000"/>
    <n v="2579"/>
    <n v="240"/>
    <n v="2.2854000000000001"/>
    <n v="53524.99"/>
    <s v="https://www.youtube.com/shorts/JypQdducDh0"/>
    <n v="119"/>
  </r>
  <r>
    <s v="A0frtMt_hp8"/>
    <s v="Ultimate Hair Care Routine for a Clean and Refreshed Look #hair #how #beautiful #shorts #amazing"/>
    <x v="180"/>
    <n v="103865235"/>
    <n v="1000000"/>
    <n v="8768"/>
    <n v="443"/>
    <n v="0.97119999999999995"/>
    <n v="234458.77"/>
    <s v="https://www.youtube.com/shorts/A0frtMt_hp8"/>
    <n v="777"/>
  </r>
  <r>
    <s v="Z3zwT7P4kdM"/>
    <s v="wash my hair clips with me ##cleaninghacks #cleaning #hairstyle #asmrsounds #viral #shorts"/>
    <x v="181"/>
    <n v="110704493"/>
    <n v="1600000"/>
    <n v="26110"/>
    <n v="272"/>
    <n v="1.4689000000000001"/>
    <n v="407001.81"/>
    <s v="https://www.youtube.com/shorts/Z3zwT7P4kdM"/>
    <n v="0"/>
  </r>
  <r>
    <s v="Eb0430sPrJI"/>
    <s v="Does the Stingray shuffle ACTUALLY work?! ðŸ˜³ #shorts"/>
    <x v="182"/>
    <n v="94440221"/>
    <n v="1100000"/>
    <n v="2499"/>
    <n v="149"/>
    <n v="1.1674"/>
    <n v="633826.99"/>
    <s v="https://www.youtube.com/shorts/Eb0430sPrJI"/>
    <n v="0"/>
  </r>
  <r>
    <s v="ZTUOzG6QSRo"/>
    <s v="When You Can Never Find The Nerf Darts ðŸ¤£ #shorts #relatable"/>
    <x v="183"/>
    <n v="608493"/>
    <n v="13000"/>
    <n v="61"/>
    <n v="3"/>
    <n v="2.1465000000000001"/>
    <n v="202831"/>
    <s v="https://www.youtube.com/shorts/ZTUOzG6QSRo"/>
    <n v="0"/>
  </r>
  <r>
    <s v="VCygVS6vDHc"/>
    <s v="Fake vs Real Tsunami ðŸŒŠ#shorts #ytshorts  #short"/>
    <x v="184"/>
    <n v="42194316"/>
    <n v="811000"/>
    <n v="6795"/>
    <n v="234"/>
    <n v="1.9381999999999999"/>
    <n v="180317.59"/>
    <s v="https://www.youtube.com/shorts/VCygVS6vDHc"/>
    <n v="47"/>
  </r>
  <r>
    <s v="edyh71THv_8"/>
    <s v="The best kids ðŸ”¥ðŸ”¥ðŸ”¥ #filaretiki #social #shorts"/>
    <x v="185"/>
    <n v="231507368"/>
    <n v="4200000"/>
    <n v="0"/>
    <n v="1007"/>
    <n v="1.8142"/>
    <n v="229898.08"/>
    <s v="https://www.youtube.com/shorts/edyh71THv_8"/>
    <n v="0"/>
  </r>
  <r>
    <s v="R0zeS4T6inM"/>
    <s v="When you forget you have 3 siblings #jonathanjoly #shorts #daughter"/>
    <x v="26"/>
    <n v="19224657"/>
    <n v="175000"/>
    <n v="2593"/>
    <n v="205"/>
    <n v="0.92379999999999995"/>
    <n v="93778.81"/>
    <s v="https://www.youtube.com/shorts/R0zeS4T6inM"/>
    <n v="0"/>
  </r>
  <r>
    <s v="5w169nrGZHY"/>
    <s v="ASMR Pink Platter ðŸ’— #shorts #short #pink #platter #candy #krabbypatty #mentos #candyfunhouse"/>
    <x v="34"/>
    <n v="189502449"/>
    <n v="3000000"/>
    <n v="5465"/>
    <n v="1137"/>
    <n v="1.5860000000000001"/>
    <n v="166668.82"/>
    <s v="https://www.youtube.com/shorts/5w169nrGZHY"/>
    <n v="297"/>
  </r>
  <r>
    <s v="KkQ6osi28V0"/>
    <s v="Funniest slime video on YouTube! #shorts #londyn"/>
    <x v="36"/>
    <n v="7624669"/>
    <n v="62000"/>
    <n v="2598"/>
    <n v="179"/>
    <n v="0.84719999999999995"/>
    <n v="42595.92"/>
    <s v="https://www.youtube.com/shorts/KkQ6osi28V0"/>
    <n v="0"/>
  </r>
  <r>
    <s v="EqQz2rHKHxE"/>
    <s v="Monster drinks boba tea ðŸ§‹ðŸ˜‚ #shorts"/>
    <x v="186"/>
    <n v="687089438"/>
    <n v="5400000"/>
    <n v="4837"/>
    <n v="309"/>
    <n v="0.78659999999999997"/>
    <n v="2223590.41"/>
    <s v="https://www.youtube.com/shorts/EqQz2rHKHxE"/>
    <n v="0"/>
  </r>
  <r>
    <s v="UUb68mu2G1M"/>
    <s v="LegendaryðŸ˜‚ðŸ‡ºðŸ‡¬ #shorts"/>
    <x v="187"/>
    <n v="568885082"/>
    <n v="12000000"/>
    <n v="58089"/>
    <n v="778"/>
    <n v="2.1196000000000002"/>
    <n v="731214.76"/>
    <s v="https://www.youtube.com/shorts/UUb68mu2G1M"/>
    <n v="0"/>
  </r>
  <r>
    <s v="qxdOxVoY9RU"/>
    <s v="Rakhi Day Turned into Sofa Festival ðŸ›‹ï¸ðŸŽ‰ðŸ˜‚ | #shorts #video #viralvideo"/>
    <x v="188"/>
    <n v="29239661"/>
    <n v="0"/>
    <n v="1016"/>
    <n v="219"/>
    <n v="3.5000000000000001E-3"/>
    <n v="133514.43"/>
    <s v="https://www.youtube.com/shorts/qxdOxVoY9RU"/>
    <n v="0"/>
  </r>
  <r>
    <s v="zNh8hE5MSok"/>
    <s v="That weird staring baby | Manish Kharage #shorts"/>
    <x v="189"/>
    <n v="131875371"/>
    <n v="1300000"/>
    <n v="4810"/>
    <n v="508"/>
    <n v="0.98939999999999995"/>
    <n v="259597.19"/>
    <s v="https://www.youtube.com/shorts/zNh8hE5MSok"/>
    <n v="0"/>
  </r>
  <r>
    <s v="K9b-md6CaVc"/>
    <s v="Wait For the End..!!ðŸ˜Twist irukkuðŸ˜… #shorts"/>
    <x v="190"/>
    <n v="10775286"/>
    <n v="93000"/>
    <n v="161"/>
    <n v="462"/>
    <n v="0.86460000000000004"/>
    <n v="23323.13"/>
    <s v="https://www.youtube.com/shorts/K9b-md6CaVc"/>
    <n v="0"/>
  </r>
  <r>
    <s v="KGZzuVNwJHY"/>
    <s v="Modi is my Daddy : Latest Telugu Comedy Short Film 2014 : Standby TV"/>
    <x v="191"/>
    <n v="3076520"/>
    <n v="20000"/>
    <n v="0"/>
    <n v="4115"/>
    <n v="0.65010000000000001"/>
    <n v="747.64"/>
    <s v="https://www.youtube.com/watch?v=KGZzuVNwJHY"/>
    <n v="569"/>
  </r>
  <r>
    <s v="8PvRGqD6Nk8"/>
    <s v="Londyns first dance competition!! #dlafam #londyn #shorts"/>
    <x v="36"/>
    <n v="24923250"/>
    <n v="169000"/>
    <n v="2602"/>
    <n v="341"/>
    <n v="0.6885"/>
    <n v="73088.710000000006"/>
    <s v="https://www.youtube.com/shorts/8PvRGqD6Nk8"/>
    <n v="0"/>
  </r>
  <r>
    <s v="q2lhVK81tqo"/>
    <s v="I'm just a girl ðŸ’“âœ¨ï¸ #makeup #shorts"/>
    <x v="192"/>
    <n v="31352412"/>
    <n v="548000"/>
    <n v="4575"/>
    <n v="297"/>
    <n v="1.7625"/>
    <n v="105563.68"/>
    <s v="https://www.youtube.com/shorts/q2lhVK81tqo"/>
    <n v="0"/>
  </r>
  <r>
    <s v="dWKKrjVu6j4"/>
    <s v="MARVEL RIVALS SEASON 7 REVEALED #shorts"/>
    <x v="193"/>
    <n v="247169"/>
    <n v="23000"/>
    <n v="417"/>
    <n v="1"/>
    <n v="9.4741"/>
    <n v="247169"/>
    <s v="https://www.youtube.com/shorts/dWKKrjVu6j4"/>
    <n v="115"/>
  </r>
  <r>
    <s v="lpi0snyddic"/>
    <s v="That two enemy teachers in school ðŸ‘©â€ðŸ«ðŸ« #shorts #sejalgabashorts #school"/>
    <x v="40"/>
    <n v="4085634"/>
    <n v="104000"/>
    <n v="517"/>
    <n v="1"/>
    <n v="2.5581999999999998"/>
    <n v="4085634"/>
    <s v="https://www.youtube.com/shorts/lpi0snyddic"/>
    <n v="37"/>
  </r>
  <r>
    <s v="XyH_GWoPrNs"/>
    <s v="SHEâ€™S SO TALL! ðŸ¤£#shorts #tiktok #trending"/>
    <x v="70"/>
    <n v="18617593"/>
    <n v="161000"/>
    <n v="3075"/>
    <n v="515"/>
    <n v="0.88129999999999997"/>
    <n v="36150.67"/>
    <s v="https://www.youtube.com/shorts/XyH_GWoPrNs"/>
    <n v="385"/>
  </r>
  <r>
    <s v="y8kneKeNyCI"/>
    <s v="Belly Button Song Dance! Learn about the Body! CoComelon #Shorts"/>
    <x v="194"/>
    <n v="1262062063"/>
    <n v="12000000"/>
    <n v="0"/>
    <n v="1081"/>
    <n v="0.95079999999999998"/>
    <n v="1167494.97"/>
    <s v="https://www.youtube.com/shorts/y8kneKeNyCI"/>
    <n v="1582"/>
  </r>
  <r>
    <s v="2ZsJHNVq7CY"/>
    <s v="DO YOU HAPPEN TO HAVEâ€¦??? #shorts #youtubeshorts"/>
    <x v="195"/>
    <n v="36495259"/>
    <n v="796000"/>
    <n v="3905"/>
    <n v="434"/>
    <n v="2.1918000000000002"/>
    <n v="84090.46"/>
    <s v="https://www.youtube.com/shorts/2ZsJHNVq7CY"/>
    <n v="0"/>
  </r>
  <r>
    <s v="cr3FkN8naY0"/>
    <s v="Minecraft but I'm SHORT #shorts"/>
    <x v="196"/>
    <n v="12443239"/>
    <n v="286000"/>
    <n v="386"/>
    <n v="443"/>
    <n v="2.3014999999999999"/>
    <n v="28088.58"/>
    <s v="https://www.youtube.com/shorts/cr3FkN8naY0"/>
    <n v="559"/>
  </r>
  <r>
    <s v="35XAGnaX058"/>
    <s v="The Shadow: Episode I | Short Film"/>
    <x v="197"/>
    <n v="14479"/>
    <n v="100"/>
    <n v="10"/>
    <n v="3763"/>
    <n v="0.75970000000000004"/>
    <n v="3.85"/>
    <s v="https://www.youtube.com/watch?v=35XAGnaX058"/>
    <n v="656"/>
  </r>
  <r>
    <s v="LuAFkBGioYY"/>
    <s v="That Foodie ðŸ¤£ #shorts #trendingonshorts #love #funny"/>
    <x v="198"/>
    <n v="10042353"/>
    <n v="267000"/>
    <n v="437"/>
    <n v="246"/>
    <n v="2.6631"/>
    <n v="40822.57"/>
    <s v="https://www.youtube.com/shorts/LuAFkBGioYY"/>
    <n v="0"/>
  </r>
  <r>
    <s v="1GDkjZm6coU"/>
    <s v="Heart-touching Cute Kitten Dance ðŸ¾ #shorts #kittenrescue #animalrescue #kittenrevenge"/>
    <x v="199"/>
    <n v="131441186"/>
    <n v="1000000"/>
    <n v="3272"/>
    <n v="389"/>
    <n v="0.76329999999999998"/>
    <n v="337895.08"/>
    <s v="https://www.youtube.com/shorts/1GDkjZm6coU"/>
    <n v="34"/>
  </r>
  <r>
    <s v="91Gvu5GhrqU"/>
    <s v="BEDAZZLING MY PRESS ON NAILS (sparkly NAILS x 100âœ¨) #youtubeshorts #shorts #nails"/>
    <x v="200"/>
    <n v="1911454"/>
    <n v="51000"/>
    <n v="614"/>
    <n v="21"/>
    <n v="2.7002000000000002"/>
    <n v="91021.62"/>
    <s v="https://www.youtube.com/shorts/91Gvu5GhrqU"/>
    <n v="0"/>
  </r>
  <r>
    <s v="ipxkqTZj6P8"/>
    <s v="failed strategies of predator mosquito! ðŸ¤£ (best animation memes) #shorts"/>
    <x v="201"/>
    <n v="46105291"/>
    <n v="866000"/>
    <n v="1623"/>
    <n v="529"/>
    <n v="1.8817999999999999"/>
    <n v="87155.56"/>
    <s v="https://www.youtube.com/shorts/ipxkqTZj6P8"/>
    <n v="0"/>
  </r>
  <r>
    <s v="31DHd7RV6B0"/>
    <s v="DIY no paper squishy â¤ï¸ #shorts #youtubeshorts #art #craft"/>
    <x v="202"/>
    <n v="7864397"/>
    <n v="28000"/>
    <n v="269"/>
    <n v="301"/>
    <n v="0.35949999999999999"/>
    <n v="26127.56"/>
    <s v="https://www.youtube.com/shorts/31DHd7RV6B0"/>
    <n v="484"/>
  </r>
  <r>
    <s v="W34KugNLS5w"/>
    <s v="That one Short height wali bride ðŸ‘° #shorts #ytshorts #sejalgabashorts #marriage"/>
    <x v="40"/>
    <n v="204398791"/>
    <n v="2000000"/>
    <n v="2665"/>
    <n v="169"/>
    <n v="0.9798"/>
    <n v="1209460.3"/>
    <s v="https://www.youtube.com/shorts/W34KugNLS5w"/>
    <n v="35"/>
  </r>
  <r>
    <s v="p4WlYxpdyuc"/>
    <s v="World's MOST Viewed YouTube Shorts!"/>
    <x v="4"/>
    <n v="2708078"/>
    <n v="14000"/>
    <n v="543"/>
    <n v="267"/>
    <n v="0.53700000000000003"/>
    <n v="10142.61"/>
    <s v="https://www.youtube.com/watch?v=p4WlYxpdyuc"/>
    <n v="1235"/>
  </r>
  <r>
    <s v="7-MQMU4U9aM"/>
    <s v="youtube par short video kaise banaye !! how to make shorts on youtube !! short video kaise dale"/>
    <x v="203"/>
    <n v="1830800"/>
    <n v="29000"/>
    <n v="898"/>
    <n v="1106"/>
    <n v="1.6331"/>
    <n v="1655.33"/>
    <s v="https://www.youtube.com/watch?v=7-MQMU4U9aM"/>
    <n v="624"/>
  </r>
  <r>
    <s v="deJMGX8HvL8"/>
    <s v="No-look, no problem ðŸ‘€ #nfl #shorts #rams"/>
    <x v="204"/>
    <n v="11074"/>
    <n v="839"/>
    <n v="24"/>
    <n v="1"/>
    <n v="7.7930000000000001"/>
    <n v="11074"/>
    <s v="https://www.youtube.com/shorts/deJMGX8HvL8"/>
    <n v="463"/>
  </r>
  <r>
    <s v="HhY3qsTPB_Q"/>
    <s v="ek ram bhakt ki kahani #youtubeshorts #shorts"/>
    <x v="205"/>
    <n v="40768"/>
    <n v="216"/>
    <n v="2"/>
    <n v="1"/>
    <n v="0.53469999999999995"/>
    <n v="40768"/>
    <s v="https://www.youtube.com/watch?v=HhY3qsTPB_Q"/>
    <n v="0"/>
  </r>
  <r>
    <s v="coahf5UXoV8"/>
    <s v="Yangi vaynlar #54 (qisqacha va zoâ€™rlariðŸ‘ŒðŸ¤£)"/>
    <x v="206"/>
    <n v="17441151"/>
    <n v="30000"/>
    <n v="1405"/>
    <n v="181"/>
    <n v="0.18010000000000001"/>
    <n v="96359.95"/>
    <s v="https://www.youtube.com/watch?v=coahf5UXoV8"/>
    <n v="0"/>
  </r>
  <r>
    <s v="8Si7WFFWnlU"/>
    <s v="Took 12 Years to Make (Watch our Family Grow) ðŸ¥° #shorts"/>
    <x v="207"/>
    <n v="6301804"/>
    <n v="117000"/>
    <n v="337"/>
    <n v="473"/>
    <n v="1.8620000000000001"/>
    <n v="13323.05"/>
    <s v="https://www.youtube.com/shorts/8Si7WFFWnlU"/>
    <n v="266"/>
  </r>
  <r>
    <s v="sPDe8IzniVM"/>
    <s v="Changeling | A Short Film by Maria Steinmetz (with English subtitles)"/>
    <x v="90"/>
    <n v="5428"/>
    <n v="32"/>
    <n v="1"/>
    <n v="3644"/>
    <n v="0.60799999999999998"/>
    <n v="1.49"/>
    <s v="https://www.youtube.com/watch?v=sPDe8IzniVM"/>
    <n v="657"/>
  </r>
  <r>
    <s v="b9hRMEJBOS0"/>
    <s v="Packing School Lunch *REAL FOOD* #shorts"/>
    <x v="208"/>
    <n v="16833928"/>
    <n v="152000"/>
    <n v="15579"/>
    <n v="1040"/>
    <n v="0.99550000000000005"/>
    <n v="16186.47"/>
    <s v="https://www.youtube.com/shorts/b9hRMEJBOS0"/>
    <n v="0"/>
  </r>
  <r>
    <s v="xv2n4W1WevI"/>
    <s v="INTROVERT FAMILY #shorts #family #food #dinner #dine #funny #relatable #comedy #fun"/>
    <x v="209"/>
    <n v="56574273"/>
    <n v="776000"/>
    <n v="1738"/>
    <n v="154"/>
    <n v="1.3747"/>
    <n v="367365.41"/>
    <s v="https://www.youtube.com/shorts/xv2n4W1WevI"/>
    <n v="0"/>
  </r>
  <r>
    <s v="0-C52W7AnII"/>
    <s v="Suprit Ko Lagaya Rang || Suraj actor short film / #shortfilm #surajactor #lovestory"/>
    <x v="210"/>
    <n v="178091"/>
    <n v="466"/>
    <n v="8"/>
    <n v="11"/>
    <n v="0.26619999999999999"/>
    <n v="16190.09"/>
    <s v="https://www.youtube.com/watch?v=0-C52W7AnII"/>
    <n v="1175"/>
  </r>
  <r>
    <s v="hQwXF7QM7M0"/>
    <s v="Whatâ€™s the BEST Social Media Family Fashion for Huntrix? | DIY Fashion Paper Dolls"/>
    <x v="211"/>
    <n v="820442"/>
    <n v="8400"/>
    <n v="186"/>
    <n v="25"/>
    <n v="1.0465"/>
    <n v="32817.68"/>
    <s v="https://www.youtube.com/watch?v=hQwXF7QM7M0"/>
    <n v="949"/>
  </r>
  <r>
    <s v="JKMKAvM2Zas"/>
    <s v="I GOT A FREE SURRON #shorts #ebike #surron #bikelife #viral"/>
    <x v="212"/>
    <n v="89441"/>
    <n v="590"/>
    <n v="8"/>
    <n v="1"/>
    <n v="0.66859999999999997"/>
    <n v="89441"/>
    <s v="https://www.youtube.com/shorts/JKMKAvM2Zas"/>
    <n v="0"/>
  </r>
  <r>
    <s v="uu2pd7C5AoA"/>
    <s v="KUMPULAN VIDEO SHORTS ESKRIM ICECREAM PART 104 BAGI BAGI AGAR PUDING JELLY SESUAI EMOJI BUAH"/>
    <x v="213"/>
    <n v="5632873"/>
    <n v="8200"/>
    <n v="37"/>
    <n v="884"/>
    <n v="0.1462"/>
    <n v="6372.03"/>
    <s v="https://www.youtube.com/watch?v=uu2pd7C5AoA"/>
    <n v="0"/>
  </r>
  <r>
    <s v="_sdgfxcp2fA"/>
    <s v="BETER BÃ–CÃœK BEST OLD EMOTIONAL VIDEOSðŸ¥¹â¤ï¸ðŸ‘€ #shorts"/>
    <x v="85"/>
    <n v="9322"/>
    <n v="129"/>
    <n v="7"/>
    <n v="163"/>
    <n v="1.4589000000000001"/>
    <n v="57.19"/>
    <s v="https://www.youtube.com/watch?v=_sdgfxcp2fA"/>
    <n v="0"/>
  </r>
  <r>
    <s v="3OxOPiHYyzU"/>
    <s v="YOSHLIKKA QAYTAMIZ / SARA TOâ€™PLAM-2"/>
    <x v="214"/>
    <n v="40286730"/>
    <n v="120000"/>
    <n v="6280"/>
    <n v="199"/>
    <n v="0.3135"/>
    <n v="202445.88"/>
    <s v="https://www.youtube.com/watch?v=3OxOPiHYyzU"/>
    <n v="522"/>
  </r>
  <r>
    <s v="XrP7YqfuMKs"/>
    <s v="ðŸ‘‰à¤à¤¸à¤¾ USA Shorts YouTube à¤šà¥ˆà¤¨à¤² à¤¬à¤¨à¤¾à¤“ Video à¤¡à¤¾à¤²à¤¤à¥‡ à¤¹à¥€ à¤¹à¥‹à¤—à¤¾ VIRAL | New USA Channel Ideas | Spreading Gyan"/>
    <x v="215"/>
    <n v="590881"/>
    <n v="13000"/>
    <n v="1433"/>
    <n v="263"/>
    <n v="2.4426000000000001"/>
    <n v="2246.6999999999998"/>
    <s v="https://www.youtube.com/watch?v=XrP7YqfuMKs"/>
    <n v="3508"/>
  </r>
  <r>
    <s v="hwlKSdMbj4s"/>
    <s v="The End ðŸ˜‚ðŸ˜‚ |Indian family #shorts #indian #chotabhai #school"/>
    <x v="216"/>
    <n v="64342959"/>
    <n v="651000"/>
    <n v="736"/>
    <n v="228"/>
    <n v="1.0128999999999999"/>
    <n v="282205.96000000002"/>
    <s v="https://www.youtube.com/shorts/hwlKSdMbj4s"/>
    <n v="291"/>
  </r>
  <r>
    <s v="T5FzQZ-x2Fk"/>
    <s v="Son of Piggyzilla Strikes Back | Short Horror (P2)"/>
    <x v="197"/>
    <n v="8101"/>
    <n v="60"/>
    <n v="5"/>
    <n v="3598"/>
    <n v="0.8024"/>
    <n v="2.25"/>
    <s v="https://www.youtube.com/watch?v=T5FzQZ-x2Fk"/>
    <n v="1300"/>
  </r>
  <r>
    <s v="qVD17eRxKX0"/>
    <s v="Mahadev â¤ï¸ðŸ™ #shorts #thebnfamily #love #shortsviral #maa"/>
    <x v="217"/>
    <n v="193468"/>
    <n v="0"/>
    <n v="2"/>
    <n v="1"/>
    <n v="1E-3"/>
    <n v="193468"/>
    <s v="https://www.youtube.com/shorts/qVD17eRxKX0"/>
    <n v="56"/>
  </r>
  <r>
    <s v="SfZhyis0a5g"/>
    <s v="à¤®à¤œà¥‡à¤¦à¤¾à¤° à¤¸à¥à¤•à¥‚à¤² à¤¹à¥ˆà¤•à¥à¤¸ || Gotcha! Yes à¤¦à¥à¤µà¤¾à¤°à¤¾ à¤¸à¥à¤®à¤¾à¤°à¥à¤Ÿ à¤›à¤¾à¤¤à¥à¤°à¥‹à¤‚ à¤•à¥‡ à¤²à¤¿à¤ à¤¸à¥€à¤•à¥à¤°à¥‡à¤Ÿ à¤”à¤° à¤•à¥‚à¤² à¤Ÿà¥à¤°à¤¿à¤•à¥à¤¸"/>
    <x v="218"/>
    <n v="70213787"/>
    <n v="215000"/>
    <n v="1139"/>
    <n v="1308"/>
    <n v="0.30780000000000002"/>
    <n v="53680.27"/>
    <s v="https://www.youtube.com/watch?v=SfZhyis0a5g"/>
    <n v="1222"/>
  </r>
  <r>
    <s v="7xGBgbBWBHs"/>
    <s v="10 Things I Bought My DOGS #shorts #justicebuys #products"/>
    <x v="219"/>
    <n v="43333937"/>
    <n v="612000"/>
    <n v="1654"/>
    <n v="196"/>
    <n v="1.4160999999999999"/>
    <n v="221091.52"/>
    <s v="https://www.youtube.com/shorts/7xGBgbBWBHs"/>
    <n v="0"/>
  </r>
  <r>
    <s v="tersfjP2-bc"/>
    <s v="Bart Loses His Tooth ðŸ¦· #simpsons #shorts"/>
    <x v="220"/>
    <n v="15029297"/>
    <n v="276000"/>
    <n v="848"/>
    <n v="169"/>
    <n v="1.8421000000000001"/>
    <n v="88930.75"/>
    <s v="https://www.youtube.com/shorts/tersfjP2-bc"/>
    <n v="0"/>
  </r>
  <r>
    <s v="IDiaSjHg3dU"/>
    <s v="OPA OPERATSIYASI-2 / SATTOROVLAR OILASI 95-QISM"/>
    <x v="214"/>
    <n v="10531242"/>
    <n v="18000"/>
    <n v="965"/>
    <n v="130"/>
    <n v="0.18010000000000001"/>
    <n v="81009.55"/>
    <s v="https://www.youtube.com/watch?v=IDiaSjHg3dU"/>
    <n v="522"/>
  </r>
  <r>
    <s v="p-oluNEJqVE"/>
    <s v="Svamp | A Short Film by Charlotta Miller (with English subtitles)"/>
    <x v="90"/>
    <n v="636661"/>
    <n v="673"/>
    <n v="7"/>
    <n v="3637"/>
    <n v="0.10680000000000001"/>
    <n v="175.05"/>
    <s v="https://www.youtube.com/watch?v=p-oluNEJqVE"/>
    <n v="752"/>
  </r>
  <r>
    <s v="oQbR1M9hg-0"/>
    <s v="Dead End (Short Film)"/>
    <x v="221"/>
    <n v="2585"/>
    <n v="11"/>
    <n v="0"/>
    <n v="4723"/>
    <n v="0.42549999999999999"/>
    <n v="0.55000000000000004"/>
    <s v="https://www.youtube.com/watch?v=oQbR1M9hg-0"/>
    <n v="679"/>
  </r>
  <r>
    <s v="brQNAiBinE8"/>
    <s v="Mon Ditey Chai - Week In Short - Ep no 15 - Zee Bangla"/>
    <x v="222"/>
    <n v="30819"/>
    <n v="229"/>
    <n v="5"/>
    <n v="879"/>
    <n v="0.75929999999999997"/>
    <n v="35.06"/>
    <s v="https://www.youtube.com/watch?v=brQNAiBinE8"/>
    <n v="708"/>
  </r>
  <r>
    <s v="ihiXdppuMVw"/>
    <s v="Sigma baby part-3 ðŸ«£ðŸ«£ #shorts #shortsvideo #cutebaby #cute #trending #viral"/>
    <x v="223"/>
    <n v="160113315"/>
    <n v="1100000"/>
    <n v="741"/>
    <n v="214"/>
    <n v="0.6875"/>
    <n v="748193.06"/>
    <s v="https://www.youtube.com/shorts/ihiXdppuMVw"/>
    <n v="0"/>
  </r>
  <r>
    <s v="yLCqccNMbbg"/>
    <s v="Itâ€™s too BIG !!! @bayashi_tv #shorts"/>
    <x v="224"/>
    <n v="56699064"/>
    <n v="612000"/>
    <n v="2484"/>
    <n v="302"/>
    <n v="1.0838000000000001"/>
    <n v="187745.25"/>
    <s v="https://www.youtube.com/shorts/yLCqccNMbbg"/>
    <n v="0"/>
  </r>
  <r>
    <s v="fAXXt6e3ECU"/>
    <s v="Yaazh inidhu inidhu - Tamil Short Film - RedPix Short Films"/>
    <x v="225"/>
    <n v="20326"/>
    <n v="26"/>
    <n v="6"/>
    <n v="4229"/>
    <n v="0.15740000000000001"/>
    <n v="4.8099999999999996"/>
    <s v="https://www.youtube.com/watch?v=fAXXt6e3ECU"/>
    <n v="639"/>
  </r>
  <r>
    <s v="fUnltHzJ790"/>
    <s v="Short"/>
    <x v="226"/>
    <n v="28048"/>
    <n v="150"/>
    <n v="0"/>
    <n v="5751"/>
    <n v="0.53480000000000005"/>
    <n v="4.88"/>
    <s v="https://www.youtube.com/watch?v=fUnltHzJ790"/>
    <n v="1524"/>
  </r>
  <r>
    <s v="ecF0YXaysjY"/>
    <s v="Mukut - Week In Short - Ep no 9 - Zee Bangla"/>
    <x v="222"/>
    <n v="51825"/>
    <n v="278"/>
    <n v="0"/>
    <n v="880"/>
    <n v="0.53639999999999999"/>
    <n v="58.89"/>
    <s v="https://www.youtube.com/watch?v=ecF0YXaysjY"/>
    <n v="903"/>
  </r>
  <r>
    <s v="G6cjsuXfDy8"/>
    <s v="My Happy End | A Short Film by Milen Vitanov"/>
    <x v="90"/>
    <n v="22129"/>
    <n v="372"/>
    <n v="0"/>
    <n v="3984"/>
    <n v="1.6811"/>
    <n v="5.55"/>
    <s v="https://www.youtube.com/watch?v=G6cjsuXfDy8"/>
    <n v="2585"/>
  </r>
  <r>
    <s v="6LP-DzyHqA4"/>
    <s v="Lokomoschine | A Short Film by Ulrike Schulz And Nikolai Neumetzler"/>
    <x v="90"/>
    <n v="376383"/>
    <n v="2200"/>
    <n v="0"/>
    <n v="2907"/>
    <n v="0.58450000000000002"/>
    <n v="129.47"/>
    <s v="https://www.youtube.com/watch?v=6LP-DzyHqA4"/>
    <n v="1212"/>
  </r>
  <r>
    <s v="0b5mWSFV8jU"/>
    <s v="Arimugam- A Frienship Tamil Short Film- Redpix Short Film"/>
    <x v="225"/>
    <n v="1373"/>
    <n v="8"/>
    <n v="12"/>
    <n v="4241"/>
    <n v="1.4567000000000001"/>
    <n v="0.32"/>
    <s v="https://www.youtube.com/watch?v=0b5mWSFV8jU"/>
    <n v="636"/>
  </r>
  <r>
    <s v="1zQ6Qz4VDJY"/>
    <s v="Sushi in the future and past! ðŸ˜µðŸ£ #shorts #radmiru"/>
    <x v="227"/>
    <n v="28820849"/>
    <n v="652000"/>
    <n v="928"/>
    <n v="568"/>
    <n v="2.2654999999999998"/>
    <n v="50740.93"/>
    <s v="https://www.youtube.com/shorts/1zQ6Qz4VDJY"/>
    <n v="254"/>
  </r>
  <r>
    <s v="n70Ag96H3B4"/>
    <s v="Ferrari SUVs vs Lamborghini Urus #cars #shorts"/>
    <x v="228"/>
    <n v="1132"/>
    <n v="38"/>
    <n v="0"/>
    <n v="1"/>
    <n v="3.3569"/>
    <n v="1132"/>
    <s v="https://www.youtube.com/watch?v=n70Ag96H3B4"/>
    <n v="304"/>
  </r>
  <r>
    <s v="yy2Fan5aWJo"/>
    <s v="Vamos Caballeros | A Short Film by Saskia Hoffmann"/>
    <x v="90"/>
    <n v="3254"/>
    <n v="35"/>
    <n v="0"/>
    <n v="3939"/>
    <n v="1.0755999999999999"/>
    <n v="0.83"/>
    <s v="https://www.youtube.com/watch?v=yy2Fan5aWJo"/>
    <n v="432"/>
  </r>
  <r>
    <s v="fdrLh6TTyow"/>
    <s v="18 Paw Patrol toys Trolls toys Angry Birds toys Hello Kitty toys Surprise Eggs Opening #109"/>
    <x v="229"/>
    <n v="642267"/>
    <n v="1600"/>
    <n v="0"/>
    <n v="2986"/>
    <n v="0.24909999999999999"/>
    <n v="215.09"/>
    <s v="https://www.youtube.com/watch?v=fdrLh6TTyow"/>
    <n v="3681"/>
  </r>
  <r>
    <s v="AHkT4CNk6DE"/>
    <s v="BEST HORROR VIDEOS FROM TOPRAK AND HIS FRIENDS ðŸ˜±âœ…âŒ #shorts"/>
    <x v="85"/>
    <n v="286881"/>
    <n v="5600"/>
    <n v="198"/>
    <n v="219"/>
    <n v="2.0209999999999999"/>
    <n v="1309.96"/>
    <s v="https://www.youtube.com/watch?v=AHkT4CNk6DE"/>
    <n v="0"/>
  </r>
  <r>
    <s v="XHLs8aYhgdw"/>
    <s v="Wait For End ðŸ’€ðŸ¤£ | Mini Vlog #shorts #minivlog #ashortaday #vlog #tranding #cats #cat"/>
    <x v="230"/>
    <n v="109863598"/>
    <n v="0"/>
    <n v="1734"/>
    <n v="177"/>
    <n v="1.6000000000000001E-3"/>
    <n v="620698.29"/>
    <s v="https://www.youtube.com/shorts/XHLs8aYhgdw"/>
    <n v="3864"/>
  </r>
  <r>
    <s v="4ZJmLwBztfs"/>
    <s v="Gafla"/>
    <x v="231"/>
    <n v="12195011"/>
    <n v="135000"/>
    <n v="4950"/>
    <n v="4682"/>
    <n v="1.1476"/>
    <n v="2604.66"/>
    <s v="https://www.youtube.com/watch?v=4ZJmLwBztfs"/>
    <n v="351"/>
  </r>
  <r>
    <s v="gsLgmuQh1WA"/>
    <s v="FUNERAL HOME | Cries in the Night | Barry Morse | Lesleh Donaldson | Full Length Movie | English"/>
    <x v="232"/>
    <n v="19381144"/>
    <n v="14000"/>
    <n v="213"/>
    <n v="2702"/>
    <n v="7.3300000000000004E-2"/>
    <n v="7172.89"/>
    <s v="https://www.youtube.com/watch?v=gsLgmuQh1WA"/>
    <n v="429"/>
  </r>
  <r>
    <s v="4tbQwbpiyDw"/>
    <s v="LOST CANYON - William Boyd, Andy Clyde, Jay Kirby - Full Western Movie [English] - 1942"/>
    <x v="233"/>
    <n v="531505"/>
    <n v="2500"/>
    <n v="58"/>
    <n v="2865"/>
    <n v="0.48130000000000001"/>
    <n v="185.52"/>
    <s v="https://www.youtube.com/watch?v=4tbQwbpiyDw"/>
    <n v="187"/>
  </r>
  <r>
    <s v="OTHYDZh4OUw"/>
    <s v="Eradu Rekhegalu | à²Žà²°à²¡à³ à²°à³‡à²–à³†à²—à²³à³ | Kannada Full Movie | FEAT. Srinath, Saritha, Geetha, K S Ashwath"/>
    <x v="234"/>
    <n v="2740834"/>
    <n v="14000"/>
    <n v="629"/>
    <n v="4066"/>
    <n v="0.53369999999999995"/>
    <n v="674.09"/>
    <s v="https://www.youtube.com/watch?v=OTHYDZh4OUw"/>
    <n v="1475"/>
  </r>
  <r>
    <s v="_T75U9Pp9oU"/>
    <s v="Prema Khaidi Telugu Full Movie | Vidharth, Amala Paul | Sri Balaji Video"/>
    <x v="235"/>
    <n v="5951202"/>
    <n v="39000"/>
    <n v="1524"/>
    <n v="4373"/>
    <n v="0.68089999999999995"/>
    <n v="1360.9"/>
    <s v="https://www.youtube.com/watch?v=_T75U9Pp9oU"/>
    <n v="1215"/>
  </r>
  <r>
    <s v="MNEuIWbYOWs"/>
    <s v="Nunca mÃ¡s (2015) Nevermore - Horror Short Film"/>
    <x v="236"/>
    <n v="2337"/>
    <n v="18"/>
    <n v="0"/>
    <n v="3725"/>
    <n v="0.7702"/>
    <n v="0.63"/>
    <s v="https://www.youtube.com/watch?v=MNEuIWbYOWs"/>
    <n v="112"/>
  </r>
  <r>
    <s v="DLZ3u-gQJeA"/>
    <s v="Nepali Hit Short Movie COTTAGE | à¤›à¥‹à¤Ÿà¥‹ à¤šà¤²à¤šà¤¿à¤¤à¥à¤° à¤•à¤Ÿà¥‡à¤œ | 2017 Hit Short Movie"/>
    <x v="237"/>
    <n v="98997"/>
    <n v="106"/>
    <n v="15"/>
    <n v="3725"/>
    <n v="0.1222"/>
    <n v="26.58"/>
    <s v="https://www.youtube.com/watch?v=DLZ3u-gQJeA"/>
    <n v="1062"/>
  </r>
  <r>
    <s v="Gsdx2pomjEk"/>
    <s v="Dulhan bhaag gai ðŸ˜‚ðŸ¤£ #shorts #ytshorts #couplegoals #khwahishgal"/>
    <x v="238"/>
    <n v="56718585"/>
    <n v="909000"/>
    <n v="2310"/>
    <n v="219"/>
    <n v="1.6067"/>
    <n v="258988.97"/>
    <s v="https://www.youtube.com/shorts/Gsdx2pomjEk"/>
    <n v="0"/>
  </r>
  <r>
    <s v="IeSbSGWJxEQ"/>
    <s v="Lakshmi | Full Movie | Nagesh Kukunoor, Monali Thakur, Satish Kaushik"/>
    <x v="239"/>
    <n v="61510379"/>
    <n v="243000"/>
    <n v="12682"/>
    <n v="4073"/>
    <n v="0.41570000000000001"/>
    <n v="15101.98"/>
    <s v="https://www.youtube.com/watch?v=IeSbSGWJxEQ"/>
    <n v="1447"/>
  </r>
  <r>
    <s v="dq0HurUtR98"/>
    <s v="Mr. Jholay | Nepali Movie | Dayahang Rai | Deeya Pun | Ram Babu Gurung | Buddhi Tamang | Bijay Baral"/>
    <x v="240"/>
    <n v="33454493"/>
    <n v="258000"/>
    <n v="11490"/>
    <n v="2636"/>
    <n v="0.80549999999999999"/>
    <n v="12691.39"/>
    <s v="https://www.youtube.com/watch?v=dq0HurUtR98"/>
    <n v="1593"/>
  </r>
  <r>
    <s v="LXXkiUKDK4w"/>
    <s v="Entertainment | Full Movie | Akshay Kumar, Tamannaah Bhatia, Johnny Lever"/>
    <x v="239"/>
    <n v="275456252"/>
    <n v="1800000"/>
    <n v="43721"/>
    <n v="4192"/>
    <n v="0.66930000000000001"/>
    <n v="65709.98"/>
    <s v="https://www.youtube.com/watch?v=LXXkiUKDK4w"/>
    <n v="1665"/>
  </r>
  <r>
    <s v="YbQVrJXfuJM"/>
    <s v="BLUE BIRD | caÅ‚y film | PL | short love movie"/>
    <x v="241"/>
    <n v="53038527"/>
    <n v="35000"/>
    <n v="1918"/>
    <n v="2855"/>
    <n v="6.9599999999999995E-2"/>
    <n v="18577.419999999998"/>
    <s v="https://www.youtube.com/watch?v=YbQVrJXfuJM"/>
    <n v="329"/>
  </r>
  <r>
    <s v="2m4qkFv517E"/>
    <s v="CUTE &amp; FUNNY â¤ï¸ NEW Anna Kova Good #shorts TikTok Compilation!"/>
    <x v="242"/>
    <n v="12224509"/>
    <n v="34000"/>
    <n v="0"/>
    <n v="1206"/>
    <n v="0.27810000000000001"/>
    <n v="10136.41"/>
    <s v="https://www.youtube.com/watch?v=2m4qkFv517E"/>
    <n v="0"/>
  </r>
  <r>
    <s v="yKV8veTETRA"/>
    <s v="GUESS THE BOYS AGES, WIN $100 #shorts"/>
    <x v="243"/>
    <n v="24855667"/>
    <n v="296000"/>
    <n v="2379"/>
    <n v="238"/>
    <n v="1.2003999999999999"/>
    <n v="104435.58"/>
    <s v="https://www.youtube.com/shorts/yKV8veTETRA"/>
    <n v="0"/>
  </r>
  <r>
    <s v="cOc5SQ2zsew"/>
    <s v="HAYATAKU/ã¯ã‚„ãŸã Funny Shorts Videos-Hayataku Shorts Best Compilation Final"/>
    <x v="45"/>
    <n v="7175268"/>
    <n v="25000"/>
    <n v="284"/>
    <n v="194"/>
    <n v="0.35239999999999999"/>
    <n v="36985.919999999998"/>
    <s v="https://www.youtube.com/watch?v=cOc5SQ2zsew"/>
    <n v="146"/>
  </r>
  <r>
    <s v="GsHNiuEVroM"/>
    <s v="The Last OneðŸ’€ðŸ˜­ #funny #satisfying #shorts"/>
    <x v="244"/>
    <n v="3483"/>
    <n v="15"/>
    <n v="4"/>
    <n v="1"/>
    <n v="0.54549999999999998"/>
    <n v="3483"/>
    <s v="https://www.youtube.com/shorts/GsHNiuEVroM"/>
    <n v="274"/>
  </r>
  <r>
    <s v="nJbrf2J0C_o"/>
    <s v="How to Upload YouTube Shorts Like a PRO in 2026 | YouTube Shorts Viral Trick"/>
    <x v="245"/>
    <n v="454561"/>
    <n v="23000"/>
    <n v="3835"/>
    <n v="20"/>
    <n v="5.9035000000000002"/>
    <n v="22728.05"/>
    <s v="https://www.youtube.com/watch?v=nJbrf2J0C_o"/>
    <n v="759"/>
  </r>
  <r>
    <s v="Cl9IwjcLSuU"/>
    <s v="Rich but sad #money #shorts"/>
    <x v="246"/>
    <n v="2285177"/>
    <n v="82000"/>
    <n v="723"/>
    <n v="4"/>
    <n v="3.62"/>
    <n v="571294.25"/>
    <s v="https://www.youtube.com/shorts/Cl9IwjcLSuU"/>
    <n v="278"/>
  </r>
  <r>
    <s v="sKDfvucB1e0"/>
    <s v="Super Spicy Fried Ramen ðŸ¥µðŸ˜‹ from @BayashiTV_ #shorts"/>
    <x v="247"/>
    <n v="3696170"/>
    <n v="74000"/>
    <n v="592"/>
    <n v="4"/>
    <n v="2.0181"/>
    <n v="924042.5"/>
    <s v="https://www.youtube.com/shorts/sKDfvucB1e0"/>
    <n v="0"/>
  </r>
  <r>
    <s v="gm8quBly1Rc"/>
    <s v="She canâ€™t waste food ðŸ˜” #shorts #couple #comedy"/>
    <x v="248"/>
    <n v="20597625"/>
    <n v="483000"/>
    <n v="906"/>
    <n v="16"/>
    <n v="2.3492999999999999"/>
    <n v="1287351.56"/>
    <s v="https://www.youtube.com/shorts/gm8quBly1Rc"/>
    <n v="0"/>
  </r>
  <r>
    <s v="18Gw6d2Ezcc"/>
    <s v="The End ðŸ˜‚ðŸ˜‚ |Indian family #shorts #indian #chotabhai #school"/>
    <x v="216"/>
    <n v="324573990"/>
    <n v="2800000"/>
    <n v="1007"/>
    <n v="394"/>
    <n v="0.86299999999999999"/>
    <n v="823791.85"/>
    <s v="https://www.youtube.com/shorts/18Gw6d2Ezcc"/>
    <n v="60"/>
  </r>
  <r>
    <s v="TIvw7rWIig8"/>
    <s v="Trying To Recreate All The Viral Stickers #couple #shorts #trending"/>
    <x v="246"/>
    <n v="226836"/>
    <n v="13000"/>
    <n v="133"/>
    <n v="1"/>
    <n v="5.7896000000000001"/>
    <n v="226836"/>
    <s v="https://www.youtube.com/shorts/TIvw7rWIig8"/>
    <n v="291"/>
  </r>
  <r>
    <s v="iqusUP-7rnQ"/>
    <s v="These kids are RIPPED ðŸ˜³ (via _kingwild/IG) #shorts"/>
    <x v="249"/>
    <n v="111816418"/>
    <n v="1300000"/>
    <n v="17103"/>
    <n v="912"/>
    <n v="1.1778999999999999"/>
    <n v="122605.72"/>
    <s v="https://www.youtube.com/shorts/iqusUP-7rnQ"/>
    <n v="175"/>
  </r>
  <r>
    <s v="tKS5qqRkn2U"/>
    <s v="Eating Emoticons In OrderðŸ˜µðŸ¦ŸðŸ‘¨â€ðŸŽ¨ #shorts #seungbini"/>
    <x v="227"/>
    <n v="108898604"/>
    <n v="618000"/>
    <n v="894"/>
    <n v="385"/>
    <n v="0.56830000000000003"/>
    <n v="282853.52"/>
    <s v="https://www.youtube.com/shorts/tKS5qqRkn2U"/>
    <n v="362"/>
  </r>
  <r>
    <s v="t4VQzJtIvAM"/>
    <s v="Try this Creative videography ðŸ‘€ðŸ“± #shorts #videography #ideas"/>
    <x v="250"/>
    <n v="191412876"/>
    <n v="2000000"/>
    <n v="1829"/>
    <n v="407"/>
    <n v="1.0458000000000001"/>
    <n v="470301.91"/>
    <s v="https://www.youtube.com/shorts/t4VQzJtIvAM"/>
    <n v="0"/>
  </r>
  <r>
    <s v="17CkxYh5rek"/>
    <s v="HEATLESS CURL REVEALâ€¦ (gone wrong) #shorts"/>
    <x v="251"/>
    <n v="1281365"/>
    <n v="81000"/>
    <n v="572"/>
    <n v="25"/>
    <n v="6.3659999999999997"/>
    <n v="51254.6"/>
    <s v="https://www.youtube.com/shorts/17CkxYh5rek"/>
    <n v="0"/>
  </r>
  <r>
    <s v="8xkJfLe1hFQ"/>
    <s v="Nal and carpet creative bathing funny video #funny #magic #videography #shorts #creative #water"/>
    <x v="252"/>
    <n v="23753080"/>
    <n v="114000"/>
    <n v="155"/>
    <n v="158"/>
    <n v="0.48060000000000003"/>
    <n v="150335.95000000001"/>
    <s v="https://www.youtube.com/shorts/8xkJfLe1hFQ"/>
    <n v="0"/>
  </r>
  <r>
    <s v="T37ZnIfXc1A"/>
    <s v="Kid Saves Homeless Manâ€™s Life #Shorts"/>
    <x v="68"/>
    <n v="3223209"/>
    <n v="105000"/>
    <n v="1552"/>
    <n v="21"/>
    <n v="3.3058000000000001"/>
    <n v="153486.14000000001"/>
    <s v="https://www.youtube.com/shorts/T37ZnIfXc1A"/>
    <n v="0"/>
  </r>
  <r>
    <s v="fwRQcXHtD8M"/>
    <s v="THE WORLDS FIRST PAN PIZZA STUFFED CRUST?!?! #youtube #shorts #food #viralvideo #youtubeshorts #wow"/>
    <x v="253"/>
    <n v="1493994"/>
    <n v="62000"/>
    <n v="1479"/>
    <n v="16"/>
    <n v="4.2488999999999999"/>
    <n v="93374.62"/>
    <s v="https://www.youtube.com/shorts/fwRQcXHtD8M"/>
    <n v="0"/>
  </r>
  <r>
    <s v="233Z0WhDrak"/>
    <s v="PIKMIN Short Movies - Occupational Hazards - Nintendo"/>
    <x v="254"/>
    <n v="51579601"/>
    <n v="212000"/>
    <n v="0"/>
    <n v="1987"/>
    <n v="0.41099999999999998"/>
    <n v="25958.53"/>
    <s v="https://www.youtube.com/watch?v=233Z0WhDrak"/>
    <n v="1114"/>
  </r>
  <r>
    <s v="JUFqPBRoPQM"/>
    <s v="Nice movies ðŸ¤£ #shorts #viral #comedy"/>
    <x v="255"/>
    <n v="43368360"/>
    <n v="181000"/>
    <n v="0"/>
    <n v="447"/>
    <n v="0.41739999999999999"/>
    <n v="97020.94"/>
    <s v="https://www.youtube.com/shorts/JUFqPBRoPQM"/>
    <n v="35"/>
  </r>
  <r>
    <s v="g7WOcSyl0SE"/>
    <s v="3 things in Japan that always shoked foreigners ! #shorts"/>
    <x v="256"/>
    <n v="3714088"/>
    <n v="85000"/>
    <n v="214"/>
    <n v="4"/>
    <n v="2.2942999999999998"/>
    <n v="928522"/>
    <s v="https://www.youtube.com/shorts/g7WOcSyl0SE"/>
    <n v="0"/>
  </r>
  <r>
    <s v="AAKxXte03rE"/>
    <s v="Rico's most viral videos. #shorts #viral"/>
    <x v="23"/>
    <n v="7910218"/>
    <n v="86000"/>
    <n v="798"/>
    <n v="1309"/>
    <n v="1.0972999999999999"/>
    <n v="6042.95"/>
    <s v="https://www.youtube.com/watch?v=AAKxXte03rE"/>
    <n v="113"/>
  </r>
  <r>
    <s v="hjI8FahtzA4"/>
    <s v="When Kids Are TOO Quiet #shorts"/>
    <x v="257"/>
    <n v="2829879"/>
    <n v="17000"/>
    <n v="242"/>
    <n v="19"/>
    <n v="0.60929999999999995"/>
    <n v="148941"/>
    <s v="https://www.youtube.com/shorts/hjI8FahtzA4"/>
    <n v="173"/>
  </r>
  <r>
    <s v="OH5PzNuAX0Y"/>
    <s v="THE BEST SHORTS !!! - COMPILATION"/>
    <x v="59"/>
    <n v="1882106"/>
    <n v="31000"/>
    <n v="1488"/>
    <n v="225"/>
    <n v="1.7262"/>
    <n v="8364.92"/>
    <s v="https://www.youtube.com/watch?v=OH5PzNuAX0Y"/>
    <n v="23"/>
  </r>
  <r>
    <s v="iD2HUD9FJu0"/>
    <s v="Wait for the 4th oneðŸ˜­ #shorts"/>
    <x v="39"/>
    <n v="10579413"/>
    <n v="172000"/>
    <n v="979"/>
    <n v="22"/>
    <n v="1.6351"/>
    <n v="480882.41"/>
    <s v="https://www.youtube.com/shorts/iD2HUD9FJu0"/>
    <n v="521"/>
  </r>
  <r>
    <s v="BsRS_aI2Tvs"/>
    <s v="Wait for it ðŸ¤£ Funny challenge video #shorts #short"/>
    <x v="258"/>
    <n v="40671298"/>
    <n v="559000"/>
    <n v="790"/>
    <n v="885"/>
    <n v="1.3764000000000001"/>
    <n v="45956.27"/>
    <s v="https://www.youtube.com/shorts/BsRS_aI2Tvs"/>
    <n v="0"/>
  </r>
  <r>
    <s v="huQ6GM4W0z4"/>
    <s v="Cat Ko Pasand Nahi Aya ðŸ˜³ðŸ˜œ #shorts #funny #uttarakhandifunnycouple"/>
    <x v="259"/>
    <n v="524610"/>
    <n v="0"/>
    <n v="2"/>
    <n v="1"/>
    <n v="4.0000000000000002E-4"/>
    <n v="524610"/>
    <s v="https://www.youtube.com/shorts/huQ6GM4W0z4"/>
    <n v="65"/>
  </r>
  <r>
    <s v="30rYSkvwbvA"/>
    <s v="Por quÃ© serÃ¡n asÃ­? ðŸ˜©ðŸ¤£Familia ðŸ¤£ #shorts #humor #tiktokvideo #latina #comedia #funny #fyp"/>
    <x v="260"/>
    <n v="143707850"/>
    <n v="1200000"/>
    <n v="4200"/>
    <n v="315"/>
    <n v="0.83799999999999997"/>
    <n v="456215.4"/>
    <s v="https://www.youtube.com/shorts/30rYSkvwbvA"/>
    <n v="0"/>
  </r>
  <r>
    <s v="DEdHAWH33nk"/>
    <s v="Wait for the end ðŸ˜‚ #shorts #funny #video #subscribe"/>
    <x v="261"/>
    <n v="88117307"/>
    <n v="623000"/>
    <n v="2245"/>
    <n v="686"/>
    <n v="0.70960000000000001"/>
    <n v="128450.88"/>
    <s v="https://www.youtube.com/shorts/DEdHAWH33nk"/>
    <n v="0"/>
  </r>
  <r>
    <s v="k8eH6RmdAQE"/>
    <s v="girls on kanjak part 2 #shorts #viral #school life #sejal gaba #garg motivation# trending"/>
    <x v="262"/>
    <n v="19947063"/>
    <n v="0"/>
    <n v="0"/>
    <n v="345"/>
    <n v="0"/>
    <n v="57817.57"/>
    <s v="https://www.youtube.com/shorts/k8eH6RmdAQE"/>
    <n v="0"/>
  </r>
  <r>
    <s v="yNAqHHrPmhg"/>
    <s v="Cute Baby Laughing #cutebaby #ai #shorts"/>
    <x v="263"/>
    <n v="50101158"/>
    <n v="233000"/>
    <n v="1255"/>
    <n v="232"/>
    <n v="0.46760000000000002"/>
    <n v="215953.27"/>
    <s v="https://www.youtube.com/shorts/yNAqHHrPmhg"/>
    <n v="115"/>
  </r>
  <r>
    <s v="YYQtJsudPvk"/>
    <s v="Cat's Candy Mishap! Rescue neededðŸ˜¿ðŸ¬Watch! ðŸ‘€ !#shorts #funny #cat #cute #animals #comedy"/>
    <x v="264"/>
    <n v="21190203"/>
    <n v="104000"/>
    <n v="92"/>
    <n v="207"/>
    <n v="0.49120000000000003"/>
    <n v="102368.13"/>
    <s v="https://www.youtube.com/shorts/YYQtJsudPvk"/>
    <n v="403"/>
  </r>
  <r>
    <s v="jtK6Mbi4Sxs"/>
    <s v="That One Over Hygiene FriendðŸ˜Watch Till EndðŸ¤ª#sharmilageorge #shorts"/>
    <x v="265"/>
    <n v="11565580"/>
    <n v="220000"/>
    <n v="214"/>
    <n v="561"/>
    <n v="1.9039999999999999"/>
    <n v="20616.009999999998"/>
    <s v="https://www.youtube.com/shorts/jtK6Mbi4Sxs"/>
    <n v="67"/>
  </r>
  <r>
    <s v="yYvHXp6dep4"/>
    <s v="Samayra ko kon si Pencil âœï¸ leni chahiye?ðŸ¤”ðŸ˜± #shorts #samayranarula #siblings"/>
    <x v="266"/>
    <n v="29224895"/>
    <n v="201000"/>
    <n v="210"/>
    <n v="264"/>
    <n v="0.6885"/>
    <n v="110700.36"/>
    <s v="https://www.youtube.com/shorts/yYvHXp6dep4"/>
    <n v="0"/>
  </r>
  <r>
    <s v="1JO9xsKwTw8"/>
    <s v="I DESPISE math ðŸ˜­ðŸ˜­ #fypã‚· #shorts #justjules #relatable #skit #trend #food #viral"/>
    <x v="267"/>
    <n v="770044"/>
    <n v="18000"/>
    <n v="334"/>
    <n v="26"/>
    <n v="2.3809"/>
    <n v="29617.08"/>
    <s v="https://www.youtube.com/shorts/1JO9xsKwTw8"/>
    <n v="0"/>
  </r>
  <r>
    <s v="wrKDsTJV5r8"/>
    <s v="Gulabo Ka Shadi Wala Lehenga ðŸ˜‚ #shorts #comedy #sonasingh"/>
    <x v="268"/>
    <n v="6483"/>
    <n v="380"/>
    <n v="4"/>
    <n v="1"/>
    <n v="5.9231999999999996"/>
    <n v="6483"/>
    <s v="https://www.youtube.com/shorts/wrKDsTJV5r8"/>
    <n v="0"/>
  </r>
  <r>
    <s v="26QLCJa3LHg"/>
    <s v="ðŸ˜¯ - #theboys #rashmika #reaction #shorts"/>
    <x v="269"/>
    <n v="55098555"/>
    <n v="0"/>
    <n v="0"/>
    <n v="513"/>
    <n v="0"/>
    <n v="107404.59"/>
    <s v="https://www.youtube.com/shorts/26QLCJa3LHg"/>
    <n v="20"/>
  </r>
  <r>
    <s v="m74BhHoQ33s"/>
    <s v="Amma How ðŸ¤” did this | #monikaprabhu | #shorts  | #trending | #funny | Monika Prabhu"/>
    <x v="270"/>
    <n v="15748916"/>
    <n v="52000"/>
    <n v="0"/>
    <n v="208"/>
    <n v="0.33019999999999999"/>
    <n v="75715.94"/>
    <s v="https://www.youtube.com/shorts/m74BhHoQ33s"/>
    <n v="83"/>
  </r>
  <r>
    <s v="IPOOKI_Izic"/>
    <s v="Last one is so true ðŸ˜­ðŸ¤ŒðŸ» #shorts"/>
    <x v="271"/>
    <n v="30224615"/>
    <n v="435000"/>
    <n v="1078"/>
    <n v="192"/>
    <n v="1.4428000000000001"/>
    <n v="157419.87"/>
    <s v="https://www.youtube.com/shorts/IPOOKI_Izic"/>
    <n v="0"/>
  </r>
  <r>
    <s v="gc67m1qc4DE"/>
    <s v="Tom ðŸ“Jerry (Rithvi&amp;Kavi)Real End TwistðŸ¤£ðŸŽˆ #shorts"/>
    <x v="272"/>
    <n v="103086356"/>
    <n v="1100000"/>
    <n v="688"/>
    <n v="331"/>
    <n v="1.0677000000000001"/>
    <n v="311439.14"/>
    <s v="https://www.youtube.com/shorts/gc67m1qc4DE"/>
    <n v="25"/>
  </r>
  <r>
    <s v="dm50uGo-3Gw"/>
    <s v="That sweet invigilator #comedy #shorts #malayalam"/>
    <x v="273"/>
    <n v="965463"/>
    <n v="39000"/>
    <n v="432"/>
    <n v="3"/>
    <n v="4.0842999999999998"/>
    <n v="321821"/>
    <s v="https://www.youtube.com/shorts/dm50uGo-3Gw"/>
    <n v="0"/>
  </r>
  <r>
    <s v="M3DUQG0GTiw"/>
    <s v="Khadus Mummy vs Golu ðŸ˜‚ Isko Toh Nikal Gayi New Shorts Video #shorts #comedy #aslimonaofficial"/>
    <x v="274"/>
    <n v="544870"/>
    <n v="7200"/>
    <n v="38"/>
    <n v="5"/>
    <n v="1.3284"/>
    <n v="108974"/>
    <s v="https://www.youtube.com/shorts/M3DUQG0GTiw"/>
    <n v="0"/>
  </r>
  <r>
    <s v="vfSzpwSAQ6M"/>
    <s v="MY DAUGHTER KNOWS HER ABC'S BACKWARDS!!! ðŸ¤¯ #shorts #abc #daughter #fatherdaughter"/>
    <x v="275"/>
    <n v="11152802"/>
    <n v="203000"/>
    <n v="6533"/>
    <n v="7"/>
    <n v="1.8787"/>
    <n v="1593257.43"/>
    <s v="https://www.youtube.com/shorts/vfSzpwSAQ6M"/>
    <n v="881"/>
  </r>
  <r>
    <s v="xTBaDiq0aFI"/>
    <s v="Salish Cooked Them.. #shorts"/>
    <x v="276"/>
    <n v="262939"/>
    <n v="2100"/>
    <n v="35"/>
    <n v="5"/>
    <n v="0.81200000000000006"/>
    <n v="52587.8"/>
    <s v="https://www.youtube.com/shorts/xTBaDiq0aFI"/>
    <n v="28"/>
  </r>
  <r>
    <s v="qNnqOPEF3nc"/>
    <s v="Yeh sirf joke he #Shorts #funny #comedy #lpg"/>
    <x v="277"/>
    <n v="1140319"/>
    <n v="7600"/>
    <n v="63"/>
    <n v="5"/>
    <n v="0.67200000000000004"/>
    <n v="228063.8"/>
    <s v="https://www.youtube.com/shorts/qNnqOPEF3nc"/>
    <n v="0"/>
  </r>
  <r>
    <s v="EDxcyJR-8Ss"/>
    <s v="Oh no ðŸ˜© All my nails fell off ðŸ˜­ #shorts #newnails #nailsart #pressonnails"/>
    <x v="278"/>
    <n v="2952440"/>
    <n v="26000"/>
    <n v="640"/>
    <n v="36"/>
    <n v="0.90229999999999999"/>
    <n v="82012.22"/>
    <s v="https://www.youtube.com/shorts/EDxcyJR-8Ss"/>
    <n v="0"/>
  </r>
  <r>
    <s v="ynnXxOyfMIA"/>
    <s v="Fast Food: The True Impact on Your Cholesterol &amp; Heart #short #shorts #youtuber #fitness"/>
    <x v="279"/>
    <n v="35110933"/>
    <n v="127000"/>
    <n v="1605"/>
    <n v="267"/>
    <n v="0.36630000000000001"/>
    <n v="131501.62"/>
    <s v="https://www.youtube.com/shorts/ynnXxOyfMIA"/>
    <n v="0"/>
  </r>
  <r>
    <s v="eqpo4ackhgo"/>
    <s v="WHO'S OLDER? ft/ Will Smith #shorts"/>
    <x v="243"/>
    <n v="5008531"/>
    <n v="162000"/>
    <n v="1919"/>
    <n v="7"/>
    <n v="3.2728000000000002"/>
    <n v="715504.43"/>
    <s v="https://www.youtube.com/shorts/eqpo4ackhgo"/>
    <n v="0"/>
  </r>
  <r>
    <s v="qj_fqQDlboQ"/>
    <s v="#funny #school #relatable #shorts #short"/>
    <x v="71"/>
    <n v="83859916"/>
    <n v="2100000"/>
    <n v="15947"/>
    <n v="498"/>
    <n v="2.5232000000000001"/>
    <n v="168393.41"/>
    <s v="https://www.youtube.com/shorts/qj_fqQDlboQ"/>
    <n v="0"/>
  </r>
  <r>
    <s v="GnYFmCAEvHA"/>
    <s v="No math for mom ðŸ˜­ #shorts #momlife #humor"/>
    <x v="280"/>
    <n v="3261515"/>
    <n v="43000"/>
    <n v="317"/>
    <n v="36"/>
    <n v="1.3281000000000001"/>
    <n v="90597.64"/>
    <s v="https://www.youtube.com/shorts/GnYFmCAEvHA"/>
    <n v="0"/>
  </r>
  <r>
    <s v="B7L74FnmYjM"/>
    <s v="This Burger Has Fried Cheese On It?! ðŸ” #shorts"/>
    <x v="281"/>
    <n v="7752333"/>
    <n v="77000"/>
    <n v="2542"/>
    <n v="24"/>
    <n v="1.026"/>
    <n v="323013.88"/>
    <s v="https://www.youtube.com/shorts/B7L74FnmYjM"/>
    <n v="0"/>
  </r>
  <r>
    <s v="pEJFVhRGZHM"/>
    <s v="ðŸ˜ŽOctober Month SupremacyðŸ”¥ Holiday AtrocitiesðŸ˜… #shorts || Ammu Times"/>
    <x v="282"/>
    <n v="10189681"/>
    <n v="247000"/>
    <n v="2581"/>
    <n v="532"/>
    <n v="2.4493999999999998"/>
    <n v="19153.54"/>
    <s v="https://www.youtube.com/shorts/pEJFVhRGZHM"/>
    <n v="211"/>
  </r>
  <r>
    <s v="venQRy67ZWE"/>
    <s v="IndiansðŸ‡®ðŸ‡³ VS Cylinderâ›½ï¸This DaysðŸ˜¬ #shorts #comedy #funny #olidavines"/>
    <x v="283"/>
    <n v="10279383"/>
    <n v="71000"/>
    <n v="57"/>
    <n v="4"/>
    <n v="0.69130000000000003"/>
    <n v="2569845.75"/>
    <s v="https://www.youtube.com/shorts/venQRy67ZWE"/>
    <n v="298"/>
  </r>
  <r>
    <s v="cPTU8ZOhSLU"/>
    <s v="miniature iPhone 17pro #shorts"/>
    <x v="284"/>
    <n v="14624566"/>
    <n v="92000"/>
    <n v="904"/>
    <n v="186"/>
    <n v="0.63529999999999998"/>
    <n v="78626.7"/>
    <s v="https://www.youtube.com/shorts/cPTU8ZOhSLU"/>
    <n v="205"/>
  </r>
  <r>
    <s v="sz5pMa7brik"/>
    <s v="Iâ€™m SUPER FLEXIBLE.. ðŸ˜…ðŸ’€ #dance #shorts #challenge"/>
    <x v="285"/>
    <n v="1070069"/>
    <n v="7600"/>
    <n v="514"/>
    <n v="20"/>
    <n v="0.75829999999999997"/>
    <n v="53503.45"/>
    <s v="https://www.youtube.com/shorts/sz5pMa7brik"/>
    <n v="0"/>
  </r>
  <r>
    <s v="nRUfoQN9fFo"/>
    <s v="Unpacking â¤ï¸â€ðŸ”¥ #shorts #short #bonamur"/>
    <x v="154"/>
    <n v="2068309"/>
    <n v="15000"/>
    <n v="136"/>
    <n v="299"/>
    <n v="0.73180000000000001"/>
    <n v="6917.42"/>
    <s v="https://www.youtube.com/shorts/nRUfoQN9fFo"/>
    <n v="0"/>
  </r>
  <r>
    <s v="reNrkOgGywI"/>
    <s v="How to Sneak Food ðŸ«ðŸ˜‚ #shorts"/>
    <x v="286"/>
    <n v="737008"/>
    <n v="3600"/>
    <n v="75"/>
    <n v="20"/>
    <n v="0.49859999999999999"/>
    <n v="36850.400000000001"/>
    <s v="https://www.youtube.com/shorts/reNrkOgGywI"/>
    <n v="22"/>
  </r>
  <r>
    <s v="hxfMJi11E_0"/>
    <s v="Which Candy Colors is The Best? ðŸ¤”"/>
    <x v="9"/>
    <n v="3621288"/>
    <n v="103000"/>
    <n v="4811"/>
    <n v="10"/>
    <n v="2.9771000000000001"/>
    <n v="362128.8"/>
    <s v="https://www.youtube.com/shorts/hxfMJi11E_0"/>
    <n v="261"/>
  </r>
  <r>
    <s v="SnJhpkkH_o8"/>
    <s v="Tom ðŸ“Jerry (Rithvi&amp;Kavi)Real End TwistðŸ¤£ðŸŽˆ #shorts"/>
    <x v="272"/>
    <n v="65806970"/>
    <n v="984000"/>
    <n v="1339"/>
    <n v="242"/>
    <n v="1.4973000000000001"/>
    <n v="271929.63"/>
    <s v="https://www.youtube.com/shorts/SnJhpkkH_o8"/>
    <n v="25"/>
  </r>
  <r>
    <s v="WRrr2hd42H0"/>
    <s v="RelatableðŸ˜‚ðŸ’¯ #funny #shorts #comedy #video #youtubeshorts"/>
    <x v="287"/>
    <n v="10867904"/>
    <n v="84000"/>
    <n v="1075"/>
    <n v="198"/>
    <n v="0.78280000000000005"/>
    <n v="54888.4"/>
    <s v="https://www.youtube.com/shorts/WRrr2hd42H0"/>
    <n v="0"/>
  </r>
  <r>
    <s v="aaJ5i0unvD0"/>
    <s v="unexpected duos â¤ï¸@yoangelolo @JennyHoyos #shorts #tiktok #couple"/>
    <x v="70"/>
    <n v="543753"/>
    <n v="11000"/>
    <n v="383"/>
    <n v="6"/>
    <n v="2.0933999999999999"/>
    <n v="90625.5"/>
    <s v="https://www.youtube.com/shorts/aaJ5i0unvD0"/>
    <n v="99"/>
  </r>
  <r>
    <s v="6jBRa1oJH1Y"/>
    <s v="hit the sea lion ðŸ¦­ #shorts #skyyjade"/>
    <x v="288"/>
    <n v="546432"/>
    <n v="9200"/>
    <n v="256"/>
    <n v="3"/>
    <n v="1.7304999999999999"/>
    <n v="182144"/>
    <s v="https://www.youtube.com/shorts/6jBRa1oJH1Y"/>
    <n v="0"/>
  </r>
  <r>
    <s v="T4XAXhI0TqE"/>
    <s v="Older Brother Finesses Chocolate Bar #Shorts"/>
    <x v="68"/>
    <n v="1563442"/>
    <n v="62000"/>
    <n v="441"/>
    <n v="5"/>
    <n v="3.9937999999999998"/>
    <n v="312688.40000000002"/>
    <s v="https://www.youtube.com/shorts/T4XAXhI0TqE"/>
    <n v="0"/>
  </r>
  <r>
    <s v="XSB3v0MG1hE"/>
    <s v="SEC Shorts - After wild games, teams show up to claim their &quot;L&quot;"/>
    <x v="98"/>
    <n v="536037"/>
    <n v="20000"/>
    <n v="1175"/>
    <n v="170"/>
    <n v="3.9502999999999999"/>
    <n v="3153.16"/>
    <s v="https://www.youtube.com/watch?v=XSB3v0MG1hE"/>
    <n v="238"/>
  </r>
  <r>
    <s v="AwDgJJcoYz4"/>
    <s v="Tom ðŸ“ Jerry (Rithvi&amp;Kavi)Real End Twist ðŸ˜‚ðŸŽˆ #shorts"/>
    <x v="272"/>
    <n v="47714089"/>
    <n v="1000000"/>
    <n v="973"/>
    <n v="465"/>
    <n v="2.0979000000000001"/>
    <n v="102610.94"/>
    <s v="https://www.youtube.com/shorts/AwDgJJcoYz4"/>
    <n v="25"/>
  </r>
  <r>
    <s v="91xYL0QxlTE"/>
    <s v="WHO REMEMBERS THIS STRANGER THINGS SCENE? ðŸ˜± #strangerthings #shorts #nishaandfam"/>
    <x v="289"/>
    <n v="7413564"/>
    <n v="41000"/>
    <n v="651"/>
    <n v="24"/>
    <n v="0.56179999999999997"/>
    <n v="308898.5"/>
    <s v="https://www.youtube.com/shorts/91xYL0QxlTE"/>
    <n v="809"/>
  </r>
  <r>
    <s v="kp4hVWsflM4"/>
    <s v="ðŸŒ·DIY tulip LAMP #diy #craft #shorts"/>
    <x v="290"/>
    <n v="3287392"/>
    <n v="135000"/>
    <n v="256"/>
    <n v="5"/>
    <n v="4.1143999999999998"/>
    <n v="657478.40000000002"/>
    <s v="https://www.youtube.com/shorts/kp4hVWsflM4"/>
    <n v="0"/>
  </r>
  <r>
    <s v="jGiFiljkEcc"/>
    <s v="World's *MOST* Viewed YouTube Shorts in 2024!"/>
    <x v="4"/>
    <n v="1315325"/>
    <n v="8300"/>
    <n v="265"/>
    <n v="484"/>
    <n v="0.6512"/>
    <n v="2717.61"/>
    <s v="https://www.youtube.com/watch?v=jGiFiljkEcc"/>
    <n v="1231"/>
  </r>
  <r>
    <s v="1QvyRbTe9YI"/>
    <s v="Every nibbi on KARVA CHAUTH ðŸ¤£ðŸ¤ŒðŸ» #shorts"/>
    <x v="271"/>
    <n v="65957182"/>
    <n v="918000"/>
    <n v="1527"/>
    <n v="161"/>
    <n v="1.3940999999999999"/>
    <n v="409671.94"/>
    <s v="https://www.youtube.com/shorts/1QvyRbTe9YI"/>
    <n v="0"/>
  </r>
  <r>
    <s v="PNlkVafp9QY"/>
    <s v="Mornings With my girlsðŸ©·ðŸ©· #hairstyle #morningroutine #grwm #hair #shorts"/>
    <x v="280"/>
    <n v="28113986"/>
    <n v="777000"/>
    <n v="6525"/>
    <n v="769"/>
    <n v="2.7869999999999999"/>
    <n v="36559.15"/>
    <s v="https://www.youtube.com/shorts/PNlkVafp9QY"/>
    <n v="0"/>
  </r>
  <r>
    <s v="EfgRmfhZa3k"/>
    <s v="Poor Daughter &amp; Biased Parents EP. FULL ðŸ‘§ðŸ»ðŸ˜¢ #shorts"/>
    <x v="291"/>
    <n v="18439910"/>
    <n v="46000"/>
    <n v="0"/>
    <n v="1040"/>
    <n v="0.2495"/>
    <n v="17730.68"/>
    <s v="https://www.youtube.com/watch?v=EfgRmfhZa3k"/>
    <n v="14"/>
  </r>
  <r>
    <s v="jD7uYpyMyBM"/>
    <s v="Cringe Youtube Shorts Comments..ðŸ¥€ðŸ’”"/>
    <x v="17"/>
    <n v="1040197"/>
    <n v="29000"/>
    <n v="7377"/>
    <n v="222"/>
    <n v="3.4971000000000001"/>
    <n v="4685.57"/>
    <s v="https://www.youtube.com/watch?v=jD7uYpyMyBM"/>
    <n v="113"/>
  </r>
  <r>
    <s v="W_dk7y3kiRI"/>
    <s v="Make a Mini Crunchwrap Supreme ðŸ”” #miniverse #makeitmini #miniverseremix #miniature #shorts"/>
    <x v="292"/>
    <n v="4127"/>
    <n v="53"/>
    <n v="0"/>
    <n v="1"/>
    <n v="1.2842"/>
    <n v="4127"/>
    <s v="https://www.youtube.com/watch?v=W_dk7y3kiRI"/>
    <n v="0"/>
  </r>
  <r>
    <s v="578NWoFc4jE"/>
    <s v="SEC Shorts - A quiet night in the college football ER gets crazy"/>
    <x v="98"/>
    <n v="529833"/>
    <n v="21000"/>
    <n v="1460"/>
    <n v="163"/>
    <n v="4.2390999999999996"/>
    <n v="3250.51"/>
    <s v="https://www.youtube.com/watch?v=578NWoFc4jE"/>
    <n v="289"/>
  </r>
  <r>
    <s v="bzKW3aTQfeo"/>
    <s v="ALL THE EMPTY ROOMS Accepts the Oscar for Documentary Short Film"/>
    <x v="293"/>
    <n v="29227"/>
    <n v="414"/>
    <n v="59"/>
    <n v="3"/>
    <n v="1.6184000000000001"/>
    <n v="9742.33"/>
    <s v="https://www.youtube.com/watch?v=bzKW3aTQfeo"/>
    <n v="206"/>
  </r>
  <r>
    <s v="UHIIqOGvDR4"/>
    <s v="Ultimate Funny Cartoon Compilation 1. (Agbaps Shorts)"/>
    <x v="294"/>
    <n v="13118313"/>
    <n v="39000"/>
    <n v="939"/>
    <n v="328"/>
    <n v="0.30449999999999999"/>
    <n v="39994.86"/>
    <s v="https://www.youtube.com/watch?v=UHIIqOGvDR4"/>
    <n v="68"/>
  </r>
  <r>
    <s v="zHuworJ6OTA"/>
    <s v="Watch ðŸ‘† 'Biriyaani' Movie Scenes! #biriyaani #kanikusruti  #anilnedumangad  #bobfelix #shorts"/>
    <x v="295"/>
    <n v="3367"/>
    <n v="26"/>
    <n v="0"/>
    <n v="1"/>
    <n v="0.7722"/>
    <n v="3367"/>
    <s v="https://www.youtube.com/watch?v=zHuworJ6OTA"/>
    <n v="648"/>
  </r>
  <r>
    <s v="oOlcz1EDC1Q"/>
    <s v="LiDiRo reagiert auf Shorts #497 #lidiro #shorts"/>
    <x v="113"/>
    <n v="193326"/>
    <n v="2800"/>
    <n v="112"/>
    <n v="73"/>
    <n v="1.5063"/>
    <n v="2648.3"/>
    <s v="https://www.youtube.com/watch?v=oOlcz1EDC1Q"/>
    <n v="706"/>
  </r>
  <r>
    <s v="ROcU-KCbudM"/>
    <s v="à¨•à¨¿à¨°à¨¾à¨à¨¦à¨¾à¨° à¥¤Punjabi short movie à¥¤Punjabi short film à¥¤Punjabi short video à¥¤Punjabi natakà¥¤Punjabi à¨®à©‚à¨µà©€"/>
    <x v="296"/>
    <n v="1856489"/>
    <n v="6600"/>
    <n v="196"/>
    <n v="69"/>
    <n v="0.36609999999999998"/>
    <n v="26905.64"/>
    <s v="https://www.youtube.com/watch?v=ROcU-KCbudM"/>
    <n v="1320"/>
  </r>
  <r>
    <s v="5c4uv3WbZzo"/>
    <s v="How To Actually Make Viral Shorts"/>
    <x v="297"/>
    <n v="197248"/>
    <n v="8800"/>
    <n v="736"/>
    <n v="130"/>
    <n v="4.8345000000000002"/>
    <n v="1517.29"/>
    <s v="https://www.youtube.com/watch?v=5c4uv3WbZzo"/>
    <n v="489"/>
  </r>
  <r>
    <s v="78Ug8Wc3iLg"/>
    <s v="The MOST Viral YouTube Short video Creation | NO After Effects!"/>
    <x v="298"/>
    <n v="16814"/>
    <n v="718"/>
    <n v="49"/>
    <n v="39"/>
    <n v="4.5617000000000001"/>
    <n v="431.13"/>
    <s v="https://www.youtube.com/watch?v=78Ug8Wc3iLg"/>
    <n v="1026"/>
  </r>
  <r>
    <s v="ypzr5CGS29Q"/>
    <s v="I Uploaded Just 7 Shorts &amp; Got Monetized! Hereâ€™s EXACTLY How I Did It"/>
    <x v="299"/>
    <n v="720129"/>
    <n v="26000"/>
    <n v="2585"/>
    <n v="123"/>
    <n v="3.9693999999999998"/>
    <n v="5854.71"/>
    <s v="https://www.youtube.com/watch?v=ypzr5CGS29Q"/>
    <n v="1913"/>
  </r>
  <r>
    <s v="WIp38ahNIrU"/>
    <s v="ðŸ˜± BEST FUNNY VIDEOS, MATIFAMILY @babyluke_ #matifamily #funny #babymatifa #shorts #compilation"/>
    <x v="95"/>
    <n v="1068013"/>
    <n v="3100"/>
    <n v="134"/>
    <n v="125"/>
    <n v="0.30280000000000001"/>
    <n v="8544.1"/>
    <s v="https://www.youtube.com/watch?v=WIp38ahNIrU"/>
    <n v="305"/>
  </r>
  <r>
    <s v="9bnCqdzOJHc"/>
    <s v="Watching Funny YouTube Shorts 6"/>
    <x v="6"/>
    <n v="280311"/>
    <n v="4000"/>
    <n v="583"/>
    <n v="61"/>
    <n v="1.635"/>
    <n v="4595.26"/>
    <s v="https://www.youtube.com/watch?v=9bnCqdzOJHc"/>
    <n v="561"/>
  </r>
  <r>
    <s v="1r-D49QgbNM"/>
    <s v="New beauty hacks for beautiful cheeks ðŸ˜±#makeuphacks #youtubeshorts #shorts"/>
    <x v="300"/>
    <n v="14583460"/>
    <n v="0"/>
    <n v="724"/>
    <n v="255"/>
    <n v="5.0000000000000001E-3"/>
    <n v="57190.04"/>
    <s v="https://www.youtube.com/shorts/1r-D49QgbNM"/>
    <n v="87"/>
  </r>
  <r>
    <e v="#NAME?"/>
    <s v="Fitur keren motor gede khusus buat cewek yakult #shorts"/>
    <x v="301"/>
    <n v="4593"/>
    <n v="250"/>
    <n v="0"/>
    <n v="1"/>
    <n v="5.4431000000000003"/>
    <n v="4593"/>
    <s v="https://www.youtube.com/watch?v=-gNC8katd2I"/>
    <n v="0"/>
  </r>
  <r>
    <s v="zF_AH9YEkC8"/>
    <s v="Our LOVE Journey in One Video! #shorts"/>
    <x v="302"/>
    <n v="8423130"/>
    <n v="168000"/>
    <n v="1896"/>
    <n v="255"/>
    <n v="2.0169999999999999"/>
    <n v="33031.879999999997"/>
    <s v="https://www.youtube.com/shorts/zF_AH9YEkC8"/>
    <n v="0"/>
  </r>
  <r>
    <s v="E_D3ycWIsFY"/>
    <s v="Thankfully, no surgery this time!! ðŸ”¥ðŸ”¥ #fypã‚· #shorts #justjules #relatable #trend #skit #viral"/>
    <x v="267"/>
    <n v="2705469"/>
    <n v="86000"/>
    <n v="4541"/>
    <n v="8"/>
    <n v="3.3466"/>
    <n v="338183.62"/>
    <s v="https://www.youtube.com/shorts/E_D3ycWIsFY"/>
    <n v="0"/>
  </r>
  <r>
    <s v="icRrbdkj3UU"/>
    <s v="Tom ðŸ“Jerry(Rithvi&amp;Kavi)Real End TwistðŸ˜‚ðŸŽˆ #shorts"/>
    <x v="272"/>
    <n v="11648200"/>
    <n v="113000"/>
    <n v="0"/>
    <n v="5"/>
    <n v="0.97009999999999996"/>
    <n v="2329640"/>
    <s v="https://www.youtube.com/shorts/icRrbdkj3UU"/>
    <n v="25"/>
  </r>
  <r>
    <s v="BCz2tp8AI0c"/>
    <s v="ISSEI funny video ðŸ˜‚ðŸ˜‚ðŸ˜‚ Winter Sea #shorts"/>
    <x v="303"/>
    <n v="257913828"/>
    <n v="3700000"/>
    <n v="10120"/>
    <n v="1167"/>
    <n v="1.4384999999999999"/>
    <n v="221005.85"/>
    <s v="https://www.youtube.com/shorts/BCz2tp8AI0c"/>
    <n v="104"/>
  </r>
  <r>
    <s v="zd9I9fjCDZA"/>
    <s v="Sach Main Sir Aa Gye ðŸ˜± #love #new #funny #shorts #shortvideo @fdccompany648"/>
    <x v="304"/>
    <n v="39412008"/>
    <n v="208000"/>
    <n v="555"/>
    <n v="339"/>
    <n v="0.5292"/>
    <n v="116259.61"/>
    <s v="https://www.youtube.com/shorts/zd9I9fjCDZA"/>
    <n v="0"/>
  </r>
  <r>
    <s v="G2ZHlV0NeNE"/>
    <s v="Sheela ka Chakravyuh ðŸ˜… | Kaamwali Bai | #shorts | Shorts Break"/>
    <x v="305"/>
    <n v="33752617"/>
    <n v="721000"/>
    <n v="843"/>
    <n v="298"/>
    <n v="2.1385999999999998"/>
    <n v="113263.82"/>
    <s v="https://www.youtube.com/shorts/G2ZHlV0NeNE"/>
    <n v="387"/>
  </r>
  <r>
    <s v="lBqTE4toOFY"/>
    <s v="Joe Rogan canâ€™t believe what this assistant said #shorts"/>
    <x v="306"/>
    <n v="768348"/>
    <n v="13000"/>
    <n v="58"/>
    <n v="1"/>
    <n v="1.6995"/>
    <n v="768348"/>
    <s v="https://www.youtube.com/shorts/lBqTE4toOFY"/>
    <n v="0"/>
  </r>
  <r>
    <s v="5tT_5USKc-w"/>
    <s v="Siblings are memories ðŸ¤§ #trending #fashion #shorts #siblings #explore"/>
    <x v="307"/>
    <n v="3115336"/>
    <n v="90000"/>
    <n v="460"/>
    <n v="3"/>
    <n v="2.9037000000000002"/>
    <n v="1038445.33"/>
    <s v="https://www.youtube.com/shorts/5tT_5USKc-w"/>
    <n v="0"/>
  </r>
  <r>
    <s v="gtjUtfD98_Y"/>
    <s v="KhatamðŸ«¡ #zidaanshahidaly #relatable #shorts"/>
    <x v="308"/>
    <n v="804689"/>
    <n v="14000"/>
    <n v="54"/>
    <n v="1"/>
    <n v="1.7464999999999999"/>
    <n v="804689"/>
    <s v="https://www.youtube.com/shorts/gtjUtfD98_Y"/>
    <n v="0"/>
  </r>
  <r>
    <s v="MWY1wApWPvc"/>
    <s v="From Small To Really Giant Pop Corn #katebrush #funny #shorts"/>
    <x v="309"/>
    <n v="176347419"/>
    <n v="2500000"/>
    <n v="4107"/>
    <n v="536"/>
    <n v="1.42"/>
    <n v="329006.38"/>
    <s v="https://www.youtube.com/shorts/MWY1wApWPvc"/>
    <n v="0"/>
  </r>
  <r>
    <s v="X8ArznSAy8A"/>
    <s v="The End ðŸ˜‚ðŸ˜‚ |Indian family #shorts #indian #chotabhai #school"/>
    <x v="216"/>
    <n v="45490048"/>
    <n v="505000"/>
    <n v="755"/>
    <n v="211"/>
    <n v="1.1117999999999999"/>
    <n v="215592.64"/>
    <s v="https://www.youtube.com/shorts/X8ArznSAy8A"/>
    <n v="60"/>
  </r>
  <r>
    <s v="aXC2EaXn_tk"/>
    <s v="Yes maâ€™am !! #rjkarishma #shorts"/>
    <x v="310"/>
    <n v="73760944"/>
    <n v="1100000"/>
    <n v="4554"/>
    <n v="392"/>
    <n v="1.4975000000000001"/>
    <n v="188165.67"/>
    <s v="https://www.youtube.com/shorts/aXC2EaXn_tk"/>
    <n v="0"/>
  </r>
  <r>
    <s v="bGTITYtu7VE"/>
    <s v="GENIUS SECRETS I LEARNED ON YOUTUBE SHORTS!"/>
    <x v="311"/>
    <n v="281981"/>
    <n v="4200"/>
    <n v="305"/>
    <n v="37"/>
    <n v="1.5975999999999999"/>
    <n v="7621.11"/>
    <s v="https://www.youtube.com/watch?v=bGTITYtu7VE"/>
    <n v="140"/>
  </r>
  <r>
    <s v="yZlXmxIrRWM"/>
    <s v="MY GIRLFRIEND TOOK ANOTHER BASKET HOME FROM TARGET #shorts"/>
    <x v="312"/>
    <n v="192988"/>
    <n v="5800"/>
    <n v="61"/>
    <n v="18"/>
    <n v="3.0369999999999999"/>
    <n v="10721.56"/>
    <s v="https://www.youtube.com/shorts/yZlXmxIrRWM"/>
    <n v="0"/>
  </r>
  <r>
    <s v="16VKEJzVrbM"/>
    <s v="Which is your favorite? #shortvideo #fashion #shorts #short"/>
    <x v="71"/>
    <n v="35712532"/>
    <n v="1100000"/>
    <n v="12236"/>
    <n v="963"/>
    <n v="3.1143999999999998"/>
    <n v="37084.660000000003"/>
    <s v="https://www.youtube.com/shorts/16VKEJzVrbM"/>
    <n v="275"/>
  </r>
  <r>
    <s v="2KZm0ldI2UM"/>
    <s v="Shanu or ko mila surprise ðŸŽ #funny #comedy #youtubeshorts #trending #shorts #vlog"/>
    <x v="75"/>
    <n v="5114847"/>
    <n v="8500"/>
    <n v="144"/>
    <n v="144"/>
    <n v="0.16900000000000001"/>
    <n v="35519.769999999997"/>
    <s v="https://www.youtube.com/watch?v=2KZm0ldI2UM"/>
    <n v="0"/>
  </r>
  <r>
    <s v="g17MuQhBTDg"/>
    <s v="How to Upload SHORTS Like a PRO!!ðŸ”¥| Make your Shorts VIRAL in just 4 HACKS!!"/>
    <x v="313"/>
    <n v="1734962"/>
    <n v="69000"/>
    <n v="5904"/>
    <n v="285"/>
    <n v="4.3173000000000004"/>
    <n v="6087.59"/>
    <s v="https://www.youtube.com/watch?v=g17MuQhBTDg"/>
    <n v="3139"/>
  </r>
  <r>
    <s v="8-tVlZE_dx4"/>
    <s v="âœ¨Ultimate ASMRðŸ’ŽDiamond PaintingðŸ˜ #diamondpainting #satisfying #asmr #shorts #diy #art #craft #gift"/>
    <x v="314"/>
    <n v="129940493"/>
    <n v="1600000"/>
    <n v="2588"/>
    <n v="495"/>
    <n v="1.2333000000000001"/>
    <n v="262506.05"/>
    <s v="https://www.youtube.com/shorts/8-tVlZE_dx4"/>
    <n v="0"/>
  </r>
  <r>
    <s v="IlQahgS73lE"/>
    <s v="Redcoat Musket reload #tf2 #sfm #shorts"/>
    <x v="315"/>
    <n v="758384"/>
    <n v="24000"/>
    <n v="903"/>
    <n v="5"/>
    <n v="3.2837000000000001"/>
    <n v="151676.79999999999"/>
    <s v="https://www.youtube.com/shorts/IlQahgS73lE"/>
    <n v="78"/>
  </r>
  <r>
    <s v="ajxSFHs7MKI"/>
    <s v="Bicycle Diesal Hacks #shorts #ytshorts #bicyclediesal #diesalhacks #mtb"/>
    <x v="316"/>
    <n v="16253"/>
    <n v="189"/>
    <n v="2"/>
    <n v="1"/>
    <n v="1.1752"/>
    <n v="16253"/>
    <s v="https://www.youtube.com/shorts/ajxSFHs7MKI"/>
    <n v="3045"/>
  </r>
  <r>
    <s v="D8pKaMNzCIE"/>
    <s v="NewðŸ¤¯ automatic comb in the market #shorts"/>
    <x v="317"/>
    <n v="6770658"/>
    <n v="0"/>
    <n v="735"/>
    <n v="270"/>
    <n v="1.09E-2"/>
    <n v="25076.51"/>
    <s v="https://www.youtube.com/shorts/D8pKaMNzCIE"/>
    <n v="41"/>
  </r>
  <r>
    <s v="LZ2Gaw2PZYw"/>
    <s v="Rudra or mansi ki new top videoðŸ˜²â¤ï¸ #shortsâ€‹ #ytshortsâ€‹ #foryouâ€‹ #trendingâ€‹ #viralvideo"/>
    <x v="318"/>
    <n v="260819"/>
    <n v="438"/>
    <n v="14"/>
    <n v="19"/>
    <n v="0.17330000000000001"/>
    <n v="13727.32"/>
    <s v="https://www.youtube.com/watch?v=LZ2Gaw2PZYw"/>
    <n v="445"/>
  </r>
  <r>
    <s v="tHsa_s6ndyo"/>
    <s v="CHANEL X BIG BUY WITH THE PEN FILTER! ðŸ˜³ðŸ–Šï¸ #shorts #funny"/>
    <x v="319"/>
    <n v="1099328"/>
    <n v="9700"/>
    <n v="209"/>
    <n v="20"/>
    <n v="0.90139999999999998"/>
    <n v="54966.400000000001"/>
    <s v="https://www.youtube.com/shorts/tHsa_s6ndyo"/>
    <n v="0"/>
  </r>
  <r>
    <s v="0YYqcC-5k90"/>
    <s v="Did she JUST CHEAT!? ðŸ¤” #challenge #funny #shorts"/>
    <x v="320"/>
    <n v="358078"/>
    <n v="1200"/>
    <n v="52"/>
    <n v="20"/>
    <n v="0.34960000000000002"/>
    <n v="17903.900000000001"/>
    <s v="https://www.youtube.com/shorts/0YYqcC-5k90"/>
    <n v="1152"/>
  </r>
  <r>
    <s v="p0NhtuNpCZE"/>
    <s v="Pikachu ðŸ¤ªðŸ¤£ðŸ¥°ðŸ¤— #shorts #viralvideo #trending #funnyvideos"/>
    <x v="80"/>
    <n v="2099624"/>
    <n v="0"/>
    <n v="6"/>
    <n v="5"/>
    <n v="2.9999999999999997E-4"/>
    <n v="419924.8"/>
    <s v="https://www.youtube.com/shorts/p0NhtuNpCZE"/>
    <n v="55"/>
  </r>
  <r>
    <s v="tuJ5WvlJn6o"/>
    <s v="The Easiest Way to Make Viral Shorts (Find Clips + Edit)"/>
    <x v="100"/>
    <n v="92123"/>
    <n v="4100"/>
    <n v="179"/>
    <n v="119"/>
    <n v="4.6448999999999998"/>
    <n v="774.14"/>
    <s v="https://www.youtube.com/watch?v=tuJ5WvlJn6o"/>
    <n v="1344"/>
  </r>
  <r>
    <s v="vEc1G8Rv6uU"/>
    <s v="The GARDENER LOL ðŸ¤£ðŸ˜­ðŸ™ #fypã‚· #shorts #justjules #skit #trend #relatable #vlogs #viral"/>
    <x v="267"/>
    <n v="726040"/>
    <n v="20000"/>
    <n v="256"/>
    <n v="26"/>
    <n v="2.7898999999999998"/>
    <n v="27924.62"/>
    <s v="https://www.youtube.com/shorts/vEc1G8Rv6uU"/>
    <n v="0"/>
  </r>
  <r>
    <s v="mjkc0xhwzVI"/>
    <s v="Which one was YOUR fav sign?? ðŸ˜‚ðŸ˜­ #fypã‚· #shorts #justjules #funny #skit #shopping #viral"/>
    <x v="267"/>
    <n v="860516"/>
    <n v="27000"/>
    <n v="342"/>
    <n v="17"/>
    <n v="3.1774"/>
    <n v="50618.59"/>
    <s v="https://www.youtube.com/shorts/mjkc0xhwzVI"/>
    <n v="0"/>
  </r>
  <r>
    <s v="uUazoK7aNDw"/>
    <s v="Rumi got attacked by dog! #shorts"/>
    <x v="321"/>
    <n v="3095863"/>
    <n v="9100"/>
    <n v="9"/>
    <n v="5"/>
    <n v="0.29420000000000002"/>
    <n v="619172.6"/>
    <s v="https://www.youtube.com/shorts/uUazoK7aNDw"/>
    <n v="0"/>
  </r>
  <r>
    <s v="gQ3Bf-ySxXo"/>
    <s v="Packing School Lunch *SHE IS IN TROUBLE* #shorts"/>
    <x v="208"/>
    <n v="53418969"/>
    <n v="613000"/>
    <n v="23435"/>
    <n v="1086"/>
    <n v="1.1914"/>
    <n v="49188.74"/>
    <s v="https://www.youtube.com/shorts/gQ3Bf-ySxXo"/>
    <n v="0"/>
  </r>
  <r>
    <s v="p6kvyjqSFhg"/>
    <s v="How did this happen ðŸ‘€ #jonathanjoly #shorts #cheerleader"/>
    <x v="26"/>
    <n v="2910830"/>
    <n v="25000"/>
    <n v="459"/>
    <n v="24"/>
    <n v="0.87460000000000004"/>
    <n v="121284.58"/>
    <s v="https://www.youtube.com/shorts/p6kvyjqSFhg"/>
    <n v="0"/>
  </r>
  <r>
    <s v="a4Nly1USGps"/>
    <s v="Part.01 My Dear Mama Ponnuâ¤ï¸ Love Short Series #shorts #mamaponnu #love #shortseries #reels"/>
    <x v="322"/>
    <n v="374034"/>
    <n v="15000"/>
    <n v="21"/>
    <n v="5"/>
    <n v="4.0159000000000002"/>
    <n v="74806.8"/>
    <s v="https://www.youtube.com/shorts/a4Nly1USGps"/>
    <n v="902"/>
  </r>
  <r>
    <s v="5NLc2lVr520"/>
    <s v="ðŸ¤£ðŸ˜„ à®Žà®©à¯à®©à®Ÿà®¾ twist - Offline Video call #tamil #shorts #trending @SonAndDadOfficial"/>
    <x v="323"/>
    <n v="39814649"/>
    <n v="354000"/>
    <n v="933"/>
    <n v="319"/>
    <n v="0.89149999999999996"/>
    <n v="124810.81"/>
    <s v="https://www.youtube.com/shorts/5NLc2lVr520"/>
    <n v="193"/>
  </r>
  <r>
    <s v="Lzxsm_LUNZY"/>
    <s v="Waitâ€”Did Sabrina Carpenter Just Say Sheâ€™s Pregnant On Stage?ðŸ˜± #sabrinacarpenter #shorts"/>
    <x v="324"/>
    <n v="12922684"/>
    <n v="164000"/>
    <n v="1495"/>
    <n v="145"/>
    <n v="1.2806999999999999"/>
    <n v="89121.96"/>
    <s v="https://www.youtube.com/shorts/Lzxsm_LUNZY"/>
    <n v="304"/>
  </r>
  <r>
    <s v="RdFVhmulvew"/>
    <s v="TikTokerâ€™s Love Triangle Explained #shorts #salishmatter #tiktoker"/>
    <x v="325"/>
    <n v="138150"/>
    <n v="5100"/>
    <n v="56"/>
    <n v="21"/>
    <n v="3.7322000000000002"/>
    <n v="6578.57"/>
    <s v="https://www.youtube.com/shorts/RdFVhmulvew"/>
    <n v="993"/>
  </r>
  <r>
    <s v="QNSRurU9ON8"/>
    <s v="Tom&amp;JerryðŸ¥°Funny moment ðŸ¥° #shorts #shortvideo"/>
    <x v="326"/>
    <n v="37538995"/>
    <n v="207000"/>
    <n v="301"/>
    <n v="206"/>
    <n v="0.55220000000000002"/>
    <n v="182228.13"/>
    <s v="https://www.youtube.com/shorts/QNSRurU9ON8"/>
    <n v="56"/>
  </r>
  <r>
    <s v="ZMQDApczsU8"/>
    <s v="Anaya Ne Apna Dimag Lagaya Hi Nahi ðŸ˜±ðŸ¤£ #shorts #comedy #trending #viral #shortvideo"/>
    <x v="327"/>
    <n v="16230965"/>
    <n v="89000"/>
    <n v="72"/>
    <n v="416"/>
    <n v="0.54879999999999995"/>
    <n v="39016.74"/>
    <s v="https://www.youtube.com/shorts/ZMQDApczsU8"/>
    <n v="82"/>
  </r>
  <r>
    <s v="9OqFZISuCJc"/>
    <s v="Exams season ðŸ“š||part 10|| #itsmanaswini | #comedy #funny | #shorts"/>
    <x v="328"/>
    <n v="24963377"/>
    <n v="298000"/>
    <n v="326"/>
    <n v="333"/>
    <n v="1.1951000000000001"/>
    <n v="74965.100000000006"/>
    <s v="https://www.youtube.com/shorts/9OqFZISuCJc"/>
    <n v="840"/>
  </r>
  <r>
    <s v="6mYmWwb931w"/>
    <s v="Big or Small challenge ðŸ˜‚ What did you like? ðŸ§ #shorts Best video by Hmelkofm"/>
    <x v="329"/>
    <n v="348538"/>
    <n v="1600"/>
    <n v="11"/>
    <n v="6"/>
    <n v="0.4622"/>
    <n v="58089.67"/>
    <s v="https://www.youtube.com/shorts/6mYmWwb931w"/>
    <n v="147"/>
  </r>
  <r>
    <s v="hnPAt-H_z_Y"/>
    <s v="Monkey Baby Bon Bon eats rainbow jelly with puppies and bathes with ducklings in the bathroom"/>
    <x v="129"/>
    <n v="195569932"/>
    <n v="485000"/>
    <n v="0"/>
    <n v="858"/>
    <n v="0.248"/>
    <n v="227936.98"/>
    <s v="https://www.youtube.com/watch?v=hnPAt-H_z_Y"/>
    <n v="134"/>
  </r>
  <r>
    <s v="3r3yxIwWtnI"/>
    <s v="*DO NOT WATCH* THESE YOUTUBE SHORTS AT NIGHTðŸ˜±"/>
    <x v="330"/>
    <n v="2808481"/>
    <n v="47000"/>
    <n v="3583"/>
    <n v="188"/>
    <n v="1.8010999999999999"/>
    <n v="14938.73"/>
    <s v="https://www.youtube.com/watch?v=3r3yxIwWtnI"/>
    <n v="596"/>
  </r>
  <r>
    <s v="cH-CU2vVY58"/>
    <s v="LiDiRo reagiert auf Shorts #492 #lidiro #shorts"/>
    <x v="113"/>
    <n v="60117"/>
    <n v="984"/>
    <n v="50"/>
    <n v="78"/>
    <n v="1.72"/>
    <n v="770.73"/>
    <s v="https://www.youtube.com/watch?v=cH-CU2vVY58"/>
    <n v="701"/>
  </r>
  <r>
    <s v="6ITh2WhywBs"/>
    <s v="Eric and Kaden Too Short for Big Slide at the Pumpkin Patch!"/>
    <x v="331"/>
    <n v="60647953"/>
    <n v="31000"/>
    <n v="0"/>
    <n v="471"/>
    <n v="5.11E-2"/>
    <n v="128764.23"/>
    <s v="https://www.youtube.com/watch?v=6ITh2WhywBs"/>
    <n v="646"/>
  </r>
  <r>
    <s v="KURfJBvc7hg"/>
    <s v="14-20 YOSHDA QIZLARðŸ¤£ðŸ¤£| ZEBO RAHIMOVA VAYNLARIâš¡ï¸âš¡ï¸| INSTAGRAMDAGI TOP KULGULI VAYNLARðŸ”¥ðŸ”¥ðŸ”¥"/>
    <x v="332"/>
    <n v="3491629"/>
    <n v="6100"/>
    <n v="201"/>
    <n v="466"/>
    <n v="0.18049999999999999"/>
    <n v="7492.77"/>
    <s v="https://www.youtube.com/watch?v=KURfJBvc7hg"/>
    <n v="4997"/>
  </r>
  <r>
    <s v="yMwCXr4XVIA"/>
    <s v="Time ReverseðŸ¤­Watch till the endðŸ˜‚#sharmilageorge #shorts"/>
    <x v="265"/>
    <n v="1554517"/>
    <n v="68000"/>
    <n v="213"/>
    <n v="18"/>
    <n v="4.3880999999999997"/>
    <n v="86362.06"/>
    <s v="https://www.youtube.com/shorts/yMwCXr4XVIA"/>
    <n v="55"/>
  </r>
  <r>
    <s v="eaVy8Jne0hs"/>
    <s v="suraj ki comedy , suraj rox comedy funny video ,#trending #viral #shorts ðŸ™suraj bhai sorryâ¤ï¸"/>
    <x v="333"/>
    <n v="26532884"/>
    <n v="167000"/>
    <n v="1538"/>
    <n v="758"/>
    <n v="0.63519999999999999"/>
    <n v="35003.800000000003"/>
    <s v="https://www.youtube.com/watch?v=eaVy8Jne0hs"/>
    <n v="94"/>
  </r>
  <r>
    <s v="u0ZElRz3qm8"/>
    <s v="Why heâ€™s so Scared ðŸ˜‚ #shorts #prank #comedy"/>
    <x v="248"/>
    <n v="7029886"/>
    <n v="250000"/>
    <n v="942"/>
    <n v="11"/>
    <n v="3.5695999999999999"/>
    <n v="639080.55000000005"/>
    <s v="https://www.youtube.com/shorts/u0ZElRz3qm8"/>
    <n v="0"/>
  </r>
  <r>
    <s v="CF_lgu6ZpnA"/>
    <s v="Advika ne Banaya Mummy Ka Pagal ðŸ˜‚ #shorts"/>
    <x v="334"/>
    <n v="86789736"/>
    <n v="0"/>
    <n v="730"/>
    <n v="557"/>
    <n v="8.0000000000000004E-4"/>
    <n v="155816.4"/>
    <s v="https://www.youtube.com/shorts/CF_lgu6ZpnA"/>
    <n v="0"/>
  </r>
  <r>
    <s v="Ue3uQFA6mJY"/>
    <s v="The traitor ðŸ˜­ #shorts by Tsuriki Show"/>
    <x v="335"/>
    <n v="115418817"/>
    <n v="2100000"/>
    <n v="4098"/>
    <n v="1601"/>
    <n v="1.823"/>
    <n v="72091.7"/>
    <s v="https://www.youtube.com/shorts/Ue3uQFA6mJY"/>
    <n v="221"/>
  </r>
  <r>
    <e v="#NAME?"/>
    <s v="New OB53 Advance Server in Free FireðŸ˜± #freefire #freefiremax #shorts"/>
    <x v="336"/>
    <n v="396391"/>
    <n v="21000"/>
    <n v="428"/>
    <n v="1"/>
    <n v="5.4058000000000002"/>
    <n v="396391"/>
    <s v="https://www.youtube.com/shorts/-WO5ALWnOBo"/>
    <n v="80"/>
  </r>
  <r>
    <s v="9TMLCyRyT2k"/>
    <s v="#shorts - Bullet Bhaskar About Her Father #SudigaliSudheer #sridevidramacomapany #comedyshow"/>
    <x v="337"/>
    <n v="264401"/>
    <n v="7700"/>
    <n v="8"/>
    <n v="1"/>
    <n v="2.9152999999999998"/>
    <n v="264401"/>
    <s v="https://www.youtube.com/shorts/9TMLCyRyT2k"/>
    <n v="0"/>
  </r>
  <r>
    <s v="gZCuYaTV0wc"/>
    <s v="Thank you so much ðŸ¥º #fypã‚· #shorts #justjules #relatable #skit #trend #flowers #viral"/>
    <x v="267"/>
    <n v="613565"/>
    <n v="17000"/>
    <n v="343"/>
    <n v="10"/>
    <n v="2.8266"/>
    <n v="61356.5"/>
    <s v="https://www.youtube.com/shorts/gZCuYaTV0wc"/>
    <n v="0"/>
  </r>
  <r>
    <s v="JlyWnWUDn8Q"/>
    <s v="Youâ€™re Pretty Weirdâ€¦ ðŸ˜¬ #Shorts #Comedy #Trending #fypã‚·"/>
    <x v="338"/>
    <n v="315319"/>
    <n v="1400"/>
    <n v="23"/>
    <n v="15"/>
    <n v="0.45129999999999998"/>
    <n v="21021.27"/>
    <s v="https://www.youtube.com/shorts/JlyWnWUDn8Q"/>
    <n v="0"/>
  </r>
  <r>
    <s v="bOVx-P1SLnc"/>
    <s v="Day 128 Challenge: Sonic Chooses Dancing or Homework? #SonicTheHedgehog #Sonic #Shorts"/>
    <x v="339"/>
    <n v="21134925"/>
    <n v="96000"/>
    <n v="113"/>
    <n v="6"/>
    <n v="0.45479999999999998"/>
    <n v="3522487.5"/>
    <s v="https://www.youtube.com/shorts/bOVx-P1SLnc"/>
    <n v="130"/>
  </r>
  <r>
    <s v="8DonKfi06uo"/>
    <s v="Talking tom cat ðŸ±ðŸ§ #shorts #youtubeshorts #shortvideo #talkingtomcat #talkingcat #gaming #cartoon"/>
    <x v="340"/>
    <n v="46461589"/>
    <n v="789000"/>
    <n v="1015"/>
    <n v="997"/>
    <n v="1.7003999999999999"/>
    <n v="46601.39"/>
    <s v="https://www.youtube.com/shorts/8DonKfi06uo"/>
    <n v="133"/>
  </r>
  <r>
    <s v="icJ0mI6IBxA"/>
    <s v="Tumhe kaise Ladke Pasnd H #shorts #vendyfam"/>
    <x v="341"/>
    <n v="1312839"/>
    <n v="37000"/>
    <n v="46"/>
    <n v="5"/>
    <n v="2.8218000000000001"/>
    <n v="262567.8"/>
    <s v="https://www.youtube.com/shorts/icJ0mI6IBxA"/>
    <n v="0"/>
  </r>
  <r>
    <s v="KRr9eO_N8mU"/>
    <s v="Can Bus Hide From Traffic In Gmod? #shorts"/>
    <x v="342"/>
    <n v="955560"/>
    <n v="4200"/>
    <n v="3"/>
    <n v="3"/>
    <n v="0.43980000000000002"/>
    <n v="318520"/>
    <s v="https://www.youtube.com/shorts/KRr9eO_N8mU"/>
    <n v="555"/>
  </r>
  <r>
    <s v="LL_57u_zeKw"/>
    <s v="I canâ€™t believe this happened today ðŸ™ŒðŸŽ‰ #jonathanjoly #shorts"/>
    <x v="26"/>
    <n v="875632"/>
    <n v="9100"/>
    <n v="382"/>
    <n v="31"/>
    <n v="1.0829"/>
    <n v="28246.19"/>
    <s v="https://www.youtube.com/shorts/LL_57u_zeKw"/>
    <n v="0"/>
  </r>
  <r>
    <s v="dP9kKCKgz0M"/>
    <s v="YOUTUBE BALL â–¶ï¸âš¾ #shorts #youtubeshorts #cricket #unboxing #ball #funny"/>
    <x v="343"/>
    <n v="13173059"/>
    <n v="496000"/>
    <n v="5577"/>
    <n v="11"/>
    <n v="3.8075999999999999"/>
    <n v="1197550.82"/>
    <s v="https://www.youtube.com/shorts/dP9kKCKgz0M"/>
    <n v="354"/>
  </r>
  <r>
    <s v="F4gnM8tCpxk"/>
    <s v="Acting Like My Gymnast Daughter In Homeschool!!!ðŸ˜‚ #shorts #relatable #funny #family"/>
    <x v="275"/>
    <n v="1590401"/>
    <n v="23000"/>
    <n v="0"/>
    <n v="35"/>
    <n v="1.4461999999999999"/>
    <n v="45440.03"/>
    <s v="https://www.youtube.com/shorts/F4gnM8tCpxk"/>
    <n v="882"/>
  </r>
  <r>
    <s v="A1MBfhyOmz4"/>
    <s v="Packing School Lunch *KOREAN CORN DOG* #shorts #HalloweenWithShorts"/>
    <x v="208"/>
    <n v="33458785"/>
    <n v="368000"/>
    <n v="4183"/>
    <n v="898"/>
    <n v="1.1124000000000001"/>
    <n v="37259.230000000003"/>
    <s v="https://www.youtube.com/shorts/A1MBfhyOmz4"/>
    <n v="0"/>
  </r>
  <r>
    <s v="IQPxYAqODN4"/>
    <s v="Why I Take So Long In The Shower #Shorts"/>
    <x v="68"/>
    <n v="4695163"/>
    <n v="130000"/>
    <n v="2288"/>
    <n v="13"/>
    <n v="2.8174999999999999"/>
    <n v="361166.38"/>
    <s v="https://www.youtube.com/shorts/IQPxYAqODN4"/>
    <n v="0"/>
  </r>
  <r>
    <s v="qgotTJljY3E"/>
    <s v="Sorry Laletta ðŸ¥¹ðŸ˜…â¤ï¸ #shorts #pearlemaaney #jayasurya #aadu3"/>
    <x v="344"/>
    <n v="563924"/>
    <n v="21000"/>
    <n v="116"/>
    <n v="3"/>
    <n v="3.7444999999999999"/>
    <n v="187974.67"/>
    <s v="https://www.youtube.com/shorts/qgotTJljY3E"/>
    <n v="503"/>
  </r>
  <r>
    <s v="41Xe6Gc_kLw"/>
    <s v="à¤®à¥‡à¤°à¥‡ à¤¸à¤¾à¤¥ à¤§à¥‹à¤–à¤¾ à¤•à¤° à¤¦à¥€ ðŸ¤ªðŸ˜‚ðŸ«£#viralvideo #viral #shorts #shortvideo #love #funny #comedy"/>
    <x v="345"/>
    <n v="25153497"/>
    <n v="196000"/>
    <n v="148"/>
    <n v="187"/>
    <n v="0.77980000000000005"/>
    <n v="134510.68"/>
    <s v="https://www.youtube.com/shorts/41Xe6Gc_kLw"/>
    <n v="139"/>
  </r>
  <r>
    <s v="lVot8WFZiBA"/>
    <s v="That burn  #meme   #satire    #funny   #fyp #jokes     #shorts #fun  #momdaughter"/>
    <x v="346"/>
    <n v="427000"/>
    <n v="8000"/>
    <n v="94"/>
    <n v="18"/>
    <n v="1.8956"/>
    <n v="23722.22"/>
    <s v="https://www.youtube.com/shorts/lVot8WFZiBA"/>
    <n v="0"/>
  </r>
  <r>
    <s v="-8X6bbscyJs"/>
    <s v="When it's too late to realize he's stupidðŸ˜±ðŸ¤£ #shorts #funny"/>
    <x v="347"/>
    <n v="82566866"/>
    <n v="1000000"/>
    <n v="938"/>
    <n v="155"/>
    <n v="1.2122999999999999"/>
    <n v="532689.46"/>
    <s v="https://www.youtube.com/shorts/-8X6bbscyJs"/>
    <n v="38"/>
  </r>
  <r>
    <s v="WphOWBglJqo"/>
    <s v="What is your favourite dessert? ðŸ°ðŸªðŸ¦ðŸ« #shorts"/>
    <x v="348"/>
    <n v="25617875"/>
    <n v="325000"/>
    <n v="754"/>
    <n v="206"/>
    <n v="1.2716000000000001"/>
    <n v="124358.62"/>
    <s v="https://www.youtube.com/shorts/WphOWBglJqo"/>
    <n v="0"/>
  </r>
  <r>
    <s v="2zFy-4UKj_g"/>
    <s v="Drawing, But I can Only use GOLD (satisfying) #shorts"/>
    <x v="349"/>
    <n v="53746730"/>
    <n v="3200000"/>
    <n v="317800"/>
    <n v="1334"/>
    <n v="6.5450999999999997"/>
    <n v="40289.9"/>
    <s v="https://www.youtube.com/shorts/2zFy-4UKj_g"/>
    <n v="546"/>
  </r>
  <r>
    <s v="6Ir-LqWS5MY"/>
    <s v="Sharing is caring #tiktok #tricks #hacks #carrotcake #drill #shorts #fyp #shorts #funny #silly"/>
    <x v="350"/>
    <n v="59798"/>
    <n v="91"/>
    <n v="3"/>
    <n v="2"/>
    <n v="0.15720000000000001"/>
    <n v="29899"/>
    <s v="https://www.youtube.com/shorts/6Ir-LqWS5MY"/>
    <n v="0"/>
  </r>
  <r>
    <s v="yoKP2WCbFEI"/>
    <s v="&quot;I just love Stitch&quot; Lilo &amp; Stitch Edit #shorts #edit"/>
    <x v="351"/>
    <n v="39287987"/>
    <n v="719000"/>
    <n v="27877"/>
    <n v="232"/>
    <n v="1.901"/>
    <n v="169344.77"/>
    <s v="https://www.youtube.com/shorts/yoKP2WCbFEI"/>
    <n v="46"/>
  </r>
  <r>
    <s v="uDLZplacMu8"/>
    <s v="1 Hour Shorts Upload Challenge (Shocking Results ðŸ˜)"/>
    <x v="352"/>
    <n v="827185"/>
    <n v="23000"/>
    <n v="8062"/>
    <n v="191"/>
    <n v="3.7551000000000001"/>
    <n v="4330.8100000000004"/>
    <s v="https://www.youtube.com/watch?v=uDLZplacMu8"/>
    <n v="900"/>
  </r>
  <r>
    <s v="TIlazUM_dRY"/>
    <s v="Dream of every Indian father ðŸ¥¹ðŸ’€ #shorts #shortvideo #funny #comedy #ytshorts #youtubeshorts #fyp"/>
    <x v="353"/>
    <n v="1835758"/>
    <n v="75000"/>
    <n v="366"/>
    <n v="6"/>
    <n v="4.1054000000000004"/>
    <n v="305959.67"/>
    <s v="https://www.youtube.com/shorts/TIlazUM_dRY"/>
    <n v="0"/>
  </r>
  <r>
    <s v="UJocThDEsAQ"/>
    <s v="Prince Harry Collapses In Tears Upon Receiving King Charlesâ€™s Final Statement #shorts #catherine"/>
    <x v="354"/>
    <n v="9288081"/>
    <n v="106000"/>
    <n v="5935"/>
    <n v="323"/>
    <n v="1.2051000000000001"/>
    <n v="28755.67"/>
    <s v="https://www.youtube.com/shorts/UJocThDEsAQ"/>
    <n v="525"/>
  </r>
  <r>
    <s v="njYS-brDsoY"/>
    <s v="Only chatpataðŸ˜Ž #comedy #foodie #spicyfood #funny #manishaswami #trending #shorts #girls #masala"/>
    <x v="355"/>
    <n v="49314084"/>
    <n v="283000"/>
    <n v="476"/>
    <n v="363"/>
    <n v="0.57479999999999998"/>
    <n v="135851.47"/>
    <s v="https://www.youtube.com/shorts/njYS-brDsoY"/>
    <n v="0"/>
  </r>
  <r>
    <s v="9T6PJLnJsec"/>
    <s v="Funny video | Help the baby girl get away from the shrimp #shorts #funny"/>
    <x v="356"/>
    <n v="217916"/>
    <n v="730"/>
    <n v="4"/>
    <n v="6"/>
    <n v="0.33679999999999999"/>
    <n v="36319.33"/>
    <s v="https://www.youtube.com/shorts/9T6PJLnJsec"/>
    <n v="889"/>
  </r>
  <r>
    <s v="2-gdFNvmh44"/>
    <s v="Sunday special exchange ðŸ¤£ðŸ¤­#kunjattamalusworld #shortreels #shorts"/>
    <x v="357"/>
    <n v="728301"/>
    <n v="12000"/>
    <n v="45"/>
    <n v="4"/>
    <n v="1.6537999999999999"/>
    <n v="182075.25"/>
    <s v="https://www.youtube.com/shorts/2-gdFNvmh44"/>
    <n v="0"/>
  </r>
  <r>
    <s v="Y5e4omKsGzg"/>
    <s v="Chintu &amp; exhibition ðŸ¤£ðŸ¤£ #shorts #trending"/>
    <x v="358"/>
    <n v="32986283"/>
    <n v="454000"/>
    <n v="612"/>
    <n v="405"/>
    <n v="1.3782000000000001"/>
    <n v="81447.61"/>
    <s v="https://www.youtube.com/shorts/Y5e4omKsGzg"/>
    <n v="0"/>
  </r>
  <r>
    <s v="cst9-4dKeQU"/>
    <s v="10 year old me in bathroomðŸ˜…ðŸ˜‚|| #like #firstshortvideo #shorts #comedy #viralvideos #foryou"/>
    <x v="359"/>
    <n v="55671534"/>
    <n v="0"/>
    <n v="2055"/>
    <n v="283"/>
    <n v="3.7000000000000002E-3"/>
    <n v="196719.2"/>
    <s v="https://www.youtube.com/shorts/cst9-4dKeQU"/>
    <n v="0"/>
  </r>
  <r>
    <s v="H9qrlolHDDM"/>
    <s v="Jai Shree RamðŸ™ðŸ™ðŸ™ #shortvideo #shorts #trending #short #shortsfeed"/>
    <x v="360"/>
    <n v="263936"/>
    <n v="0"/>
    <n v="114"/>
    <n v="1"/>
    <n v="4.3200000000000002E-2"/>
    <n v="263936"/>
    <s v="https://www.youtube.com/shorts/H9qrlolHDDM"/>
    <n v="0"/>
  </r>
  <r>
    <s v="7DPFp_T1vnI"/>
    <s v="CON MI MAMÃ VS CON MI PAPÃ #shorts"/>
    <x v="361"/>
    <n v="1743622"/>
    <n v="70000"/>
    <n v="472"/>
    <n v="2"/>
    <n v="4.0416999999999996"/>
    <n v="871811"/>
    <s v="https://www.youtube.com/shorts/7DPFp_T1vnI"/>
    <n v="0"/>
  </r>
  <r>
    <s v="VdOWW9365tg"/>
    <s v="BLYTHE DOLLS ðŸ’™ ðŸ‘§ðŸ¿ OOTD GAME #shorts"/>
    <x v="362"/>
    <n v="1695"/>
    <n v="27"/>
    <n v="0"/>
    <n v="1"/>
    <n v="1.5929"/>
    <n v="1695"/>
    <s v="https://www.youtube.com/shorts/VdOWW9365tg"/>
    <n v="2543"/>
  </r>
  <r>
    <s v="tgXrrYVYXog"/>
    <s v="THIS IS TOO FUNNYðŸ˜­ #skit #dumplings #funny #viral #shorts"/>
    <x v="363"/>
    <n v="773728"/>
    <n v="11000"/>
    <n v="95"/>
    <n v="22"/>
    <n v="1.4339999999999999"/>
    <n v="35169.449999999997"/>
    <s v="https://www.youtube.com/shorts/tgXrrYVYXog"/>
    <n v="0"/>
  </r>
  <r>
    <s v="YrWVNErDUb8"/>
    <s v="Ika Soundarya thapinchukoledhuðŸ˜… #youtube #telugu #shorts"/>
    <x v="364"/>
    <n v="3055467"/>
    <n v="75000"/>
    <n v="90"/>
    <n v="6"/>
    <n v="2.4575999999999998"/>
    <n v="509244.5"/>
    <s v="https://www.youtube.com/shorts/YrWVNErDUb8"/>
    <n v="0"/>
  </r>
  <r>
    <s v="63bcwCc4hfQ"/>
    <s v="Wait for end ðŸ¤£ #shorts #comedyvideos #trending"/>
    <x v="365"/>
    <n v="348840"/>
    <n v="1900"/>
    <n v="2"/>
    <n v="4"/>
    <n v="0.54520000000000002"/>
    <n v="87210"/>
    <s v="https://www.youtube.com/shorts/63bcwCc4hfQ"/>
    <n v="0"/>
  </r>
  <r>
    <s v="NwHBHRGrQLA"/>
    <s v="Monkey makeup ðŸµðŸ’„#viralvideo #funny #shorts #makeup"/>
    <x v="366"/>
    <n v="166012994"/>
    <n v="869000"/>
    <n v="2049"/>
    <n v="232"/>
    <n v="0.52470000000000006"/>
    <n v="715573.25"/>
    <s v="https://www.youtube.com/shorts/NwHBHRGrQLA"/>
    <n v="399"/>
  </r>
  <r>
    <s v="TVghdXSkfos"/>
    <s v="Watermelon, mangoes, muskmelon started in my garden #watermelon #mango #mygarden #farming #shorts"/>
    <x v="367"/>
    <n v="873720"/>
    <n v="9400"/>
    <n v="136"/>
    <n v="5"/>
    <n v="1.0913999999999999"/>
    <n v="174744"/>
    <s v="https://www.youtube.com/shorts/TVghdXSkfos"/>
    <n v="0"/>
  </r>
  <r>
    <s v="w21tq2SfrIU"/>
    <s v="Pranitha à®šà¯‡à®Ÿà¯à®Ÿà¯ˆ ðŸ˜‚ 7 à®®à®£à®¿à®•à¯à®•à¯ à®¤à¯‚à®™à¯à®• try à®ªà®£à¯à®£à®¿à®©à®¾ à®¨à®Ÿà®¨à¯à®¤ scene! #shorts #tamil #comedy"/>
    <x v="323"/>
    <n v="2071924"/>
    <n v="10000"/>
    <n v="24"/>
    <n v="4"/>
    <n v="0.48380000000000001"/>
    <n v="517981"/>
    <s v="https://www.youtube.com/shorts/w21tq2SfrIU"/>
    <n v="689"/>
  </r>
  <r>
    <s v="zwMEhBq4kYM"/>
    <s v="Funny Watermelon Prank ðŸ¤£ #shorts #short #viralvideos #viralshort #funny #youtubeshorts #shortsfeed"/>
    <x v="368"/>
    <n v="145441283"/>
    <n v="2100000"/>
    <n v="8179"/>
    <n v="557"/>
    <n v="1.4495"/>
    <n v="261115.41"/>
    <s v="https://www.youtube.com/shorts/zwMEhBq4kYM"/>
    <n v="0"/>
  </r>
  <r>
    <s v="s5a2PR1f1Mw"/>
    <s v="La bouteille MAGIQUE ðŸ™‚ðŸ’§ Jâ€™AI TESTÃ‰ POUR VOUS ! #shorts  #funny #relatable #wtf"/>
    <x v="369"/>
    <n v="13670622"/>
    <n v="0"/>
    <n v="3590"/>
    <n v="308"/>
    <n v="2.63E-2"/>
    <n v="44385.14"/>
    <s v="https://www.youtube.com/shorts/s5a2PR1f1Mw"/>
    <n v="0"/>
  </r>
  <r>
    <s v="kqQaME_vOsg"/>
    <s v="Funny Monkey viral video..ðŸ¤£ðŸ¤£ðŸ¤£  #funny #comedy #trending #viral #shorts"/>
    <x v="370"/>
    <n v="130270346"/>
    <n v="770000"/>
    <n v="2382"/>
    <n v="586"/>
    <n v="0.59289999999999998"/>
    <n v="222304.34"/>
    <s v="https://www.youtube.com/shorts/kqQaME_vOsg"/>
    <n v="70"/>
  </r>
  <r>
    <s v="3Pv4vxfmSzs"/>
    <s v="Cute rabbit babyðŸ˜#shorts #rabbit #shortsvideo #short"/>
    <x v="371"/>
    <n v="274839347"/>
    <n v="2200000"/>
    <n v="14206"/>
    <n v="1113"/>
    <n v="0.80559999999999998"/>
    <n v="246935.62"/>
    <s v="https://www.youtube.com/shorts/3Pv4vxfmSzs"/>
    <n v="251"/>
  </r>
  <r>
    <s v="HsnK9XEFXTk"/>
    <s v="DIY Bottle Art/Painting on Glass Bottle #youtubeshorts #shorts #bottleart #diy"/>
    <x v="372"/>
    <n v="798242"/>
    <n v="8700"/>
    <n v="23"/>
    <n v="4"/>
    <n v="1.0928"/>
    <n v="199560.5"/>
    <s v="https://www.youtube.com/shorts/HsnK9XEFXTk"/>
    <n v="0"/>
  </r>
  <r>
    <s v="N5dtLpjYap0"/>
    <s v="Raat Ke 12 Bje Wali CravingsðŸ¥µðŸ¤£ðŸ‘€ #shortsviral #shorts #minivlog #adayinmylife"/>
    <x v="373"/>
    <n v="3376017"/>
    <n v="105000"/>
    <n v="178"/>
    <n v="7"/>
    <n v="3.1154000000000002"/>
    <n v="482288.14"/>
    <s v="https://www.youtube.com/shorts/N5dtLpjYap0"/>
    <n v="0"/>
  </r>
  <r>
    <s v="GntYrete0aw"/>
    <s v="Butter chickenðŸ˜‹ #youtube #telugu #shorts #viralshorts #butterchicken"/>
    <x v="374"/>
    <n v="648065"/>
    <n v="12000"/>
    <n v="30"/>
    <n v="6"/>
    <n v="1.8563000000000001"/>
    <n v="108010.83"/>
    <s v="https://www.youtube.com/shorts/GntYrete0aw"/>
    <n v="68"/>
  </r>
  <r>
    <s v="uLahZJB8hss"/>
    <s v="it's a stupid dress? ðŸ˜±#trending #fashion #model #ripgigi #shorts"/>
    <x v="375"/>
    <n v="12036440"/>
    <n v="283000"/>
    <n v="1624"/>
    <n v="6"/>
    <n v="2.3647"/>
    <n v="2006073.33"/>
    <s v="https://www.youtube.com/shorts/uLahZJB8hss"/>
    <n v="0"/>
  </r>
  <r>
    <s v="ZmZ5-GkQf9c"/>
    <s v="Packing School Lunch *67 LUNCHBOX* #shorts"/>
    <x v="208"/>
    <n v="3492410"/>
    <n v="56000"/>
    <n v="5205"/>
    <n v="160"/>
    <n v="1.7524999999999999"/>
    <n v="21827.56"/>
    <s v="https://www.youtube.com/shorts/ZmZ5-GkQf9c"/>
    <n v="0"/>
  </r>
  <r>
    <s v="80B9fNDvtfs"/>
    <s v="Daughter and son say they see shark then this happens #shorts"/>
    <x v="376"/>
    <n v="957636"/>
    <n v="9100"/>
    <n v="59"/>
    <n v="7"/>
    <n v="0.95640000000000003"/>
    <n v="136805.14000000001"/>
    <s v="https://www.youtube.com/shorts/80B9fNDvtfs"/>
    <n v="0"/>
  </r>
  <r>
    <s v="1b94ID_Dw7c"/>
    <s v="Sourdough Bread Toast #viralvideo #shortvideo #shorts #toast #easysnack #food #foodies #cookingvlog"/>
    <x v="377"/>
    <n v="1864099"/>
    <n v="36000"/>
    <n v="130"/>
    <n v="6"/>
    <n v="1.9381999999999999"/>
    <n v="310683.17"/>
    <s v="https://www.youtube.com/shorts/1b94ID_Dw7c"/>
    <n v="0"/>
  </r>
  <r>
    <s v="xzNS4wAuf3Q"/>
    <s v="GIRL OR BOY?ðŸ¤°ðŸ»ðŸ˜ #youtubevideo #youtubeshorts #youtube #shortvideo #shorts #malayalam"/>
    <x v="378"/>
    <n v="162950"/>
    <n v="8200"/>
    <n v="141"/>
    <n v="8"/>
    <n v="5.1186999999999996"/>
    <n v="20368.75"/>
    <s v="https://www.youtube.com/shorts/xzNS4wAuf3Q"/>
    <n v="85"/>
  </r>
  <r>
    <s v="eEBmHUmGwZM"/>
    <s v="No BatidÃ£o Flipbook ðŸ¥¹ðŸ™ðŸ» | Artist Version ðŸ”¥ #shorts #flipbookart #nobatidao #flipbook #art #dance"/>
    <x v="379"/>
    <n v="1030194"/>
    <n v="12000"/>
    <n v="287"/>
    <n v="4"/>
    <n v="1.1927000000000001"/>
    <n v="257548.5"/>
    <s v="https://www.youtube.com/shorts/eEBmHUmGwZM"/>
    <n v="96"/>
  </r>
  <r>
    <s v="PhVQWwjZn54"/>
    <s v="She kissed me ðŸ™ˆ donâ€™t miss the end ðŸ«£ #trending #shorts #catchysmells #itmaaz #perfumer #kissme"/>
    <x v="380"/>
    <n v="224977540"/>
    <n v="3100000"/>
    <n v="6198"/>
    <n v="274"/>
    <n v="1.3807"/>
    <n v="821085.91"/>
    <s v="https://www.youtube.com/shorts/PhVQWwjZn54"/>
    <n v="0"/>
  </r>
  <r>
    <s v="uuKr9KLwrOs"/>
    <s v="Itna bara balloon #shorts #shortvideo #youtubeshorts #shaheerjutt"/>
    <x v="381"/>
    <n v="41435"/>
    <n v="887"/>
    <n v="9"/>
    <n v="1"/>
    <n v="2.1623999999999999"/>
    <n v="41435"/>
    <s v="https://www.youtube.com/shorts/uuKr9KLwrOs"/>
    <n v="0"/>
  </r>
  <r>
    <s v="WbDOByBXdbc"/>
    <s v="SATISFYING CONTOUR BLENDING VIDEO!!! | Sydney Morgan #shorts"/>
    <x v="382"/>
    <n v="102647848"/>
    <n v="5500000"/>
    <n v="40309"/>
    <n v="1467"/>
    <n v="5.3974000000000002"/>
    <n v="69971.27"/>
    <s v="https://www.youtube.com/shorts/WbDOByBXdbc"/>
    <n v="171"/>
  </r>
  <r>
    <s v="QhHS_qLYzgw"/>
    <s v="Zombie Boy Found a Family in Spiders After Parents Left Him #shorts"/>
    <x v="383"/>
    <n v="2559824"/>
    <n v="41000"/>
    <n v="152"/>
    <n v="4"/>
    <n v="1.6075999999999999"/>
    <n v="639956"/>
    <s v="https://www.youtube.com/shorts/QhHS_qLYzgw"/>
    <n v="42"/>
  </r>
  <r>
    <s v="nXEMcea3kyo"/>
    <s v="YOUTUBE BALL NAKLI HAI?âŒâ–¶ï¸âš¾ #shorts #youtubeshorts #cricket #unboxing #ball #funny"/>
    <x v="343"/>
    <n v="10363795"/>
    <n v="272000"/>
    <n v="2817"/>
    <n v="7"/>
    <n v="2.6516999999999999"/>
    <n v="1480542.14"/>
    <s v="https://www.youtube.com/shorts/nXEMcea3kyo"/>
    <n v="354"/>
  </r>
  <r>
    <s v="0DgWZqI7hcM"/>
    <s v="Maa bnne ke baad sab samjh aa gya.! #youtubeshorts #youtube #ytshorts #shorts #familyvlog"/>
    <x v="384"/>
    <n v="824362"/>
    <n v="20000"/>
    <n v="96"/>
    <n v="5"/>
    <n v="2.4378000000000002"/>
    <n v="164872.4"/>
    <s v="https://www.youtube.com/shorts/0DgWZqI7hcM"/>
    <n v="0"/>
  </r>
  <r>
    <s v="weaKjXMn9p8"/>
    <s v="The clown has a lot of earwax#joker #shorts"/>
    <x v="385"/>
    <n v="4625875"/>
    <n v="42000"/>
    <n v="56"/>
    <n v="6"/>
    <n v="0.90910000000000002"/>
    <n v="770979.17"/>
    <s v="https://www.youtube.com/shorts/weaKjXMn9p8"/>
    <n v="237"/>
  </r>
  <r>
    <s v="SI68LFGFac4"/>
    <s v="Bhalayi ka zamana nhi hai ðŸ˜‚#relatable #comedy #shorts #funny #shortvideos #shortsfeed"/>
    <x v="386"/>
    <n v="4480634"/>
    <n v="158000"/>
    <n v="700"/>
    <n v="6"/>
    <n v="3.5419"/>
    <n v="746772.33"/>
    <s v="https://www.youtube.com/shorts/SI68LFGFac4"/>
    <n v="0"/>
  </r>
  <r>
    <s v="c4eMsD6XyF4"/>
    <s v="Salish forgot her Left and Right! ðŸ˜‚ #shorts"/>
    <x v="276"/>
    <n v="1523847"/>
    <n v="8200"/>
    <n v="45"/>
    <n v="23"/>
    <n v="0.54110000000000003"/>
    <n v="66254.22"/>
    <s v="https://www.youtube.com/shorts/c4eMsD6XyF4"/>
    <n v="255"/>
  </r>
  <r>
    <s v="iHhmfC8WxOw"/>
    <s v="Mystery Saja's Real Face EXPOSED in K-Pop Demon Hunters  ðŸ˜± #shorts #kpopdemonhunters #kpop #viral"/>
    <x v="387"/>
    <n v="26700022"/>
    <n v="251000"/>
    <n v="1225"/>
    <n v="192"/>
    <n v="0.94469999999999998"/>
    <n v="139062.60999999999"/>
    <s v="https://www.youtube.com/shorts/iHhmfC8WxOw"/>
    <n v="0"/>
  </r>
  <r>
    <s v="BbH6uEartwo"/>
    <s v="the ART of being funny ðŸ‘€ ðŸ¤¯ #shorts #skyyjade"/>
    <x v="288"/>
    <n v="4064456"/>
    <n v="107000"/>
    <n v="441"/>
    <n v="10"/>
    <n v="2.6434000000000002"/>
    <n v="406445.6"/>
    <s v="https://www.youtube.com/shorts/BbH6uEartwo"/>
    <n v="0"/>
  </r>
  <r>
    <s v="znqY5tmFNHs"/>
    <s v="Tom ðŸ“Jerry(Rithvi&amp;Kavi)Real End TwistðŸ˜‚ðŸŽˆ #shorts"/>
    <x v="272"/>
    <n v="3844089"/>
    <n v="52000"/>
    <n v="258"/>
    <n v="8"/>
    <n v="1.3593999999999999"/>
    <n v="480511.12"/>
    <s v="https://www.youtube.com/shorts/znqY5tmFNHs"/>
    <n v="25"/>
  </r>
  <r>
    <s v="xNKTtY1Dysc"/>
    <s v="They told her what she COULDNT WEAR?! ðŸ˜­ðŸ’” #shorts #momlife #family #cute"/>
    <x v="388"/>
    <n v="459240"/>
    <n v="10000"/>
    <n v="90"/>
    <n v="35"/>
    <n v="2.1970999999999998"/>
    <n v="13121.14"/>
    <s v="https://www.youtube.com/shorts/xNKTtY1Dysc"/>
    <n v="0"/>
  </r>
  <r>
    <s v="7BgEiiFxejM"/>
    <s v="THE JOKE ABOUT EATING LEMONS WITH WASABI ðŸ˜¢ #funny #shorts"/>
    <x v="389"/>
    <n v="3454474"/>
    <n v="16000"/>
    <n v="10"/>
    <n v="8"/>
    <n v="0.46350000000000002"/>
    <n v="431809.25"/>
    <s v="https://www.youtube.com/shorts/7BgEiiFxejM"/>
    <n v="0"/>
  </r>
  <r>
    <s v="Dl5SX2dzBmU"/>
    <s v="wonderful pick me up thank you very much #furry #fursuit #furries #shorts #fizzyfox #work"/>
    <x v="390"/>
    <n v="237762"/>
    <n v="12000"/>
    <n v="124"/>
    <n v="1"/>
    <n v="5.0991999999999997"/>
    <n v="237762"/>
    <s v="https://www.youtube.com/shorts/Dl5SX2dzBmU"/>
    <n v="0"/>
  </r>
  <r>
    <s v="rh_kT2Mbm3c"/>
    <s v="Prank over Cartoon Cat #shorts"/>
    <x v="391"/>
    <n v="114545737"/>
    <n v="1500000"/>
    <n v="1059"/>
    <n v="1228"/>
    <n v="1.3104"/>
    <n v="93278.29"/>
    <s v="https://www.youtube.com/shorts/rh_kT2Mbm3c"/>
    <n v="0"/>
  </r>
  <r>
    <s v="tQiuWOqgfQc"/>
    <s v="One of my favorite videosðŸ¤£ #shorts #dlafam #londyn"/>
    <x v="36"/>
    <n v="12650631"/>
    <n v="31000"/>
    <n v="467"/>
    <n v="255"/>
    <n v="0.2487"/>
    <n v="49610.32"/>
    <s v="https://www.youtube.com/shorts/tQiuWOqgfQc"/>
    <n v="0"/>
  </r>
  <r>
    <s v="9Ied1oT99qA"/>
    <s v="The Ancient &quot;Solar Probiotic&quot; Tech of India? (Dahi mirch)â˜€ï¸ðŸ§« #shorts #historyfacts #foodhistory"/>
    <x v="392"/>
    <n v="690487"/>
    <n v="8300"/>
    <n v="13"/>
    <n v="3"/>
    <n v="1.2039"/>
    <n v="230162.33"/>
    <s v="https://www.youtube.com/shorts/9Ied1oT99qA"/>
    <n v="1864"/>
  </r>
  <r>
    <s v="uRMw0Nd2dBk"/>
    <s v="Chump and Clump | CGI short film by Stephan Sacher &amp; Michael Herm"/>
    <x v="90"/>
    <n v="21091"/>
    <n v="337"/>
    <n v="11"/>
    <n v="3983"/>
    <n v="1.65"/>
    <n v="5.3"/>
    <s v="https://www.youtube.com/watch?v=uRMw0Nd2dBk"/>
    <n v="896"/>
  </r>
  <r>
    <s v="lZ-G3ASbLAc"/>
    <s v="I made KIRBY BOBA! #shorts"/>
    <x v="393"/>
    <n v="16975107"/>
    <n v="831000"/>
    <n v="3194"/>
    <n v="1828"/>
    <n v="4.9142000000000001"/>
    <n v="9286.16"/>
    <s v="https://www.youtube.com/shorts/lZ-G3ASbLAc"/>
    <n v="647"/>
  </r>
  <r>
    <s v="pDdhBOYlQLQ"/>
    <s v="RATING ALL MY HAIR COLORSâ€¦ #shorts"/>
    <x v="251"/>
    <n v="1550075"/>
    <n v="112000"/>
    <n v="590"/>
    <n v="37"/>
    <n v="7.2634999999999996"/>
    <n v="41893.919999999998"/>
    <s v="https://www.youtube.com/shorts/pDdhBOYlQLQ"/>
    <n v="0"/>
  </r>
  <r>
    <s v="233q4jsJ_pM"/>
    <s v="Funny video#shortvideo #shorts #shortvideo"/>
    <x v="394"/>
    <n v="54891000"/>
    <n v="170000"/>
    <n v="40"/>
    <n v="259"/>
    <n v="0.30980000000000002"/>
    <n v="211934.36"/>
    <s v="https://www.youtube.com/shorts/233q4jsJ_pM"/>
    <n v="584"/>
  </r>
  <r>
    <s v="9TpwNYaRPAo"/>
    <s v="ðŸŽ¥  JUST MARRIED (2003) | Full Movie Trailer in HD | 1080p"/>
    <x v="395"/>
    <n v="346782"/>
    <n v="909"/>
    <n v="8"/>
    <n v="2903"/>
    <n v="0.26440000000000002"/>
    <n v="119.46"/>
    <s v="https://www.youtube.com/watch?v=9TpwNYaRPAo"/>
    <n v="216"/>
  </r>
  <r>
    <s v="XyCcAutpSJE"/>
    <s v="Aggressive ASMR #shorts #asmrsleep"/>
    <x v="396"/>
    <n v="37682337"/>
    <n v="230000"/>
    <n v="653"/>
    <n v="193"/>
    <n v="0.61209999999999998"/>
    <n v="195245.27"/>
    <s v="https://www.youtube.com/shorts/XyCcAutpSJE"/>
    <n v="0"/>
  </r>
  <r>
    <s v="YYES_87H5Yo"/>
    <s v="Rubber Ducky Surprises Frog &amp; Puppy with Car Ride Chase"/>
    <x v="397"/>
    <n v="36076918"/>
    <n v="63000"/>
    <n v="456"/>
    <n v="368"/>
    <n v="0.1759"/>
    <n v="98035.1"/>
    <s v="https://www.youtube.com/watch?v=YYES_87H5Yo"/>
    <n v="412"/>
  </r>
  <r>
    <s v="P7YZs1x0fjI"/>
    <s v="duo is back @royaltyfam ðŸ’™#shorts #viral #tiktok"/>
    <x v="70"/>
    <n v="354953"/>
    <n v="6200"/>
    <n v="180"/>
    <n v="2"/>
    <n v="1.7974000000000001"/>
    <n v="177476.5"/>
    <s v="https://www.youtube.com/shorts/P7YZs1x0fjI"/>
    <n v="69"/>
  </r>
  <r>
    <s v="C08RLFUjmno"/>
    <s v="Kumpulan video shorts kocak dan gokil @Ryncesryana part 100."/>
    <x v="143"/>
    <n v="1006878"/>
    <n v="1300"/>
    <n v="9"/>
    <n v="277"/>
    <n v="0.13"/>
    <n v="3634.94"/>
    <s v="https://www.youtube.com/watch?v=C08RLFUjmno"/>
    <n v="0"/>
  </r>
  <r>
    <s v="1vXbsttBl68"/>
    <s v="FOR THE LOVE OF MONEY  |  LATEST MOVIE | MR ALOY | #trendingshorts #trending #bts #comedy #film"/>
    <x v="398"/>
    <n v="712594"/>
    <n v="3400"/>
    <n v="252"/>
    <n v="416"/>
    <n v="0.51249999999999996"/>
    <n v="1712.97"/>
    <s v="https://www.youtube.com/watch?v=1vXbsttBl68"/>
    <n v="377"/>
  </r>
  <r>
    <s v="ldWBXTOkcEE"/>
    <s v="Bro Thought He Was The Hero ðŸ’€ (Sad Matchsitck Meme)  #shorts"/>
    <x v="399"/>
    <n v="3791708"/>
    <n v="49000"/>
    <n v="217"/>
    <n v="12"/>
    <n v="1.298"/>
    <n v="315975.67"/>
    <s v="https://www.youtube.com/shorts/ldWBXTOkcEE"/>
    <n v="0"/>
  </r>
  <r>
    <s v="yB_2_YEs6Ls"/>
    <s v="SHOP ATROCITIES  #shorts #trending #trendingshorts #comedy #new"/>
    <x v="400"/>
    <n v="13026858"/>
    <n v="200000"/>
    <n v="102"/>
    <n v="507"/>
    <n v="1.5361"/>
    <n v="25694"/>
    <s v="https://www.youtube.com/shorts/yB_2_YEs6Ls"/>
    <n v="0"/>
  </r>
  <r>
    <s v="JUiG-KMY4d8"/>
    <s v="First Love Of Every Girl ðŸ˜‚ #shorts #teratrigun #ytshorts"/>
    <x v="401"/>
    <n v="5407430"/>
    <n v="78000"/>
    <n v="320"/>
    <n v="5"/>
    <n v="1.4483999999999999"/>
    <n v="1081486"/>
    <s v="https://www.youtube.com/shorts/JUiG-KMY4d8"/>
    <n v="26"/>
  </r>
  <r>
    <s v="ZCrplwJzPpA"/>
    <s v="weee litttðŸ˜‚ #shorts #dance #fun"/>
    <x v="402"/>
    <n v="331388"/>
    <n v="7900"/>
    <n v="443"/>
    <n v="4"/>
    <n v="2.5175999999999998"/>
    <n v="82847"/>
    <s v="https://www.youtube.com/shorts/ZCrplwJzPpA"/>
    <n v="18"/>
  </r>
  <r>
    <s v="4FG2VTtmRc4"/>
    <s v="Which one are you?? #shorts #hair #family"/>
    <x v="280"/>
    <n v="4054123"/>
    <n v="73000"/>
    <n v="0"/>
    <n v="12"/>
    <n v="1.8006"/>
    <n v="337843.58"/>
    <s v="https://www.youtube.com/shorts/4FG2VTtmRc4"/>
    <n v="0"/>
  </r>
  <r>
    <s v="8y5wzDSfdls"/>
    <s v="#Kritikachannel#Shorts funny video"/>
    <x v="403"/>
    <n v="8649767"/>
    <n v="42000"/>
    <n v="163"/>
    <n v="243"/>
    <n v="0.4874"/>
    <n v="35595.75"/>
    <s v="https://www.youtube.com/shorts/8y5wzDSfdls"/>
    <n v="34"/>
  </r>
  <r>
    <s v="B2ppQrDXaIQ"/>
    <s v="Men tugâ€™ildimðŸ˜ #zeboraximova #shorts #short"/>
    <x v="154"/>
    <n v="1436128"/>
    <n v="21000"/>
    <n v="496"/>
    <n v="563"/>
    <n v="1.4967999999999999"/>
    <n v="2550.85"/>
    <s v="https://www.youtube.com/shorts/B2ppQrDXaIQ"/>
    <n v="0"/>
  </r>
  <r>
    <s v="veOSBgNCUyU"/>
    <s v="GÃ¶zde AkgÃ¼n | Sonu efsane ðŸ˜‚ |#gÃ¶zdeakgÃ¼n #shorts"/>
    <x v="404"/>
    <n v="253942754"/>
    <n v="4200000"/>
    <n v="4791"/>
    <n v="821"/>
    <n v="1.6557999999999999"/>
    <n v="309309.08"/>
    <s v="https://www.youtube.com/shorts/veOSBgNCUyU"/>
    <n v="0"/>
  </r>
  <r>
    <s v="lSrCcvMOCxc"/>
    <s v="Half Term Be Likeâ€¦ #shorts #schoollife #school"/>
    <x v="405"/>
    <n v="401025"/>
    <n v="11000"/>
    <n v="476"/>
    <n v="27"/>
    <n v="2.8616999999999999"/>
    <n v="14852.78"/>
    <s v="https://www.youtube.com/shorts/lSrCcvMOCxc"/>
    <n v="0"/>
  </r>
  <r>
    <s v="EOo8o8UeIrA"/>
    <s v="Â¿HAS VISTO COMO HUELE? ðŸ¤£ #shorts #tobbaliink"/>
    <x v="406"/>
    <n v="23525372"/>
    <n v="318000"/>
    <n v="1012"/>
    <n v="205"/>
    <n v="1.3560000000000001"/>
    <n v="114757.91"/>
    <s v="https://www.youtube.com/shorts/EOo8o8UeIrA"/>
    <n v="0"/>
  </r>
  <r>
    <s v="MZwUEcogDMI"/>
    <s v="Na Prema Nekai : Latest Telugu Short Film 2014 : A Deekshith Chand Film"/>
    <x v="407"/>
    <n v="45723"/>
    <n v="394"/>
    <n v="0"/>
    <n v="4125"/>
    <n v="0.86170000000000002"/>
    <n v="11.08"/>
    <s v="https://www.youtube.com/watch?v=MZwUEcogDMI"/>
    <n v="508"/>
  </r>
  <r>
    <s v="D9prj9zFaR0"/>
    <s v="amaira ke sath y kya ho gya ðŸ˜‚#amairagurjar #shorts"/>
    <x v="408"/>
    <n v="296332425"/>
    <n v="1800000"/>
    <n v="4152"/>
    <n v="738"/>
    <n v="0.60880000000000001"/>
    <n v="401534.45"/>
    <s v="https://www.youtube.com/shorts/D9prj9zFaR0"/>
    <n v="0"/>
  </r>
  <r>
    <s v="5WVkh6xYmHc"/>
    <s v="Macbook Neo First Impression || Don't Buy Windows Laptop ðŸ’»ðŸ˜ž #shorts"/>
    <x v="409"/>
    <n v="567"/>
    <n v="26"/>
    <n v="1"/>
    <n v="1"/>
    <n v="4.7618999999999998"/>
    <n v="567"/>
    <s v="https://www.youtube.com/watch?v=5WVkh6xYmHc"/>
    <n v="250"/>
  </r>
  <r>
    <s v="wQ3irgtaqfA"/>
    <s v="Crazy Jewellery Organizer Idea ðŸ˜± #shorts"/>
    <x v="410"/>
    <n v="7304043"/>
    <n v="77000"/>
    <n v="296"/>
    <n v="7"/>
    <n v="1.0583"/>
    <n v="1043434.71"/>
    <s v="https://www.youtube.com/shorts/wQ3irgtaqfA"/>
    <n v="0"/>
  </r>
  <r>
    <s v="SxVeNqU7eZ0"/>
    <s v="Spiderman Brand New Day Trailer Is Insane ðŸ¤¯ #shorts"/>
    <x v="411"/>
    <n v="223034"/>
    <n v="31000"/>
    <n v="238"/>
    <n v="1"/>
    <n v="14.0059"/>
    <n v="223034"/>
    <s v="https://www.youtube.com/shorts/SxVeNqU7eZ0"/>
    <n v="133"/>
  </r>
  <r>
    <s v="Vdkarz3L0FI"/>
    <s v="Reflek bjirrðŸ¤£ #mobilelegends #mlbb #mlmemes #mobilelegendsbangbang #shorts #fyp"/>
    <x v="412"/>
    <n v="295475"/>
    <n v="4100"/>
    <n v="87"/>
    <n v="1"/>
    <n v="1.417"/>
    <n v="295475"/>
    <s v="https://www.youtube.com/shorts/Vdkarz3L0FI"/>
    <n v="0"/>
  </r>
  <r>
    <s v="1sPn6O_cbXw"/>
    <s v="Como olvidar ðŸ’ƒðŸ»â˜ºï¸ TOKYO #shorts #humor #tiktokvideo #latina #comedia #funny  #fyp"/>
    <x v="260"/>
    <n v="2017601"/>
    <n v="53000"/>
    <n v="1412"/>
    <n v="5"/>
    <n v="2.6968999999999999"/>
    <n v="403520.2"/>
    <s v="https://www.youtube.com/shorts/1sPn6O_cbXw"/>
    <n v="0"/>
  </r>
  <r>
    <s v="KdP2X6hIyVo"/>
    <s v="dhosa idly funny shorts ðŸ¤£ #youtubeshorts #funny #shorts"/>
    <x v="141"/>
    <n v="18791326"/>
    <n v="0"/>
    <n v="0"/>
    <n v="343"/>
    <n v="0"/>
    <n v="54785.21"/>
    <s v="https://www.youtube.com/shorts/KdP2X6hIyVo"/>
    <n v="0"/>
  </r>
  <r>
    <s v="V6MrrpnNLlQ"/>
    <s v="Rainbow Art in Black and White paper #art #painting #shorts"/>
    <x v="413"/>
    <n v="551368749"/>
    <n v="4400000"/>
    <n v="0"/>
    <n v="700"/>
    <n v="0.79800000000000004"/>
    <n v="787669.64"/>
    <s v="https://www.youtube.com/shorts/V6MrrpnNLlQ"/>
    <n v="0"/>
  </r>
  <r>
    <s v="nLCCkUjxsj4"/>
    <s v="QUEM COMEU O MEU SORVETE? #shorts"/>
    <x v="414"/>
    <n v="12448312"/>
    <n v="109000"/>
    <n v="467"/>
    <n v="200"/>
    <n v="0.87939999999999996"/>
    <n v="62241.56"/>
    <s v="https://www.youtube.com/shorts/nLCCkUjxsj4"/>
    <n v="0"/>
  </r>
  <r>
    <s v="SG3VuWk_MbE"/>
    <s v="Must TRY on This EidðŸ˜ | Poses Ideas For Girls #shorts #eid #poseideas"/>
    <x v="415"/>
    <n v="1555417"/>
    <n v="35000"/>
    <n v="113"/>
    <n v="6"/>
    <n v="2.2574999999999998"/>
    <n v="259236.17"/>
    <s v="https://www.youtube.com/shorts/SG3VuWk_MbE"/>
    <n v="970"/>
  </r>
  <r>
    <s v="zebpeL-PJUg"/>
    <s v="WORK SMARTER NOT HARDER #shorts"/>
    <x v="416"/>
    <n v="1354142"/>
    <n v="33000"/>
    <n v="339"/>
    <n v="14"/>
    <n v="2.4620000000000002"/>
    <n v="96724.43"/>
    <s v="https://www.youtube.com/shorts/zebpeL-PJUg"/>
    <n v="0"/>
  </r>
  <r>
    <s v="JtnShgOLgHw"/>
    <s v="&quot;3 in 1 dosa trick unlocked.&quot; ðŸ˜²ðŸ¤©ðŸ¤¯ #relatable #trending #shorts"/>
    <x v="417"/>
    <n v="7638070"/>
    <n v="40000"/>
    <n v="96"/>
    <n v="8"/>
    <n v="0.52490000000000003"/>
    <n v="954758.75"/>
    <s v="https://www.youtube.com/shorts/JtnShgOLgHw"/>
    <n v="76"/>
  </r>
  <r>
    <s v="Uy2fxUmBxzs"/>
    <s v="BEST Song covers ever #shorts"/>
    <x v="418"/>
    <n v="3246996"/>
    <n v="127000"/>
    <n v="1017"/>
    <n v="255"/>
    <n v="3.9426000000000001"/>
    <n v="12733.32"/>
    <s v="https://www.youtube.com/shorts/Uy2fxUmBxzs"/>
    <n v="0"/>
  </r>
  <r>
    <s v="pApFFbxmc0Y"/>
    <s v="Chogada ðŸ™â¤ï¸ #shorts #thebnbrothers #funny #viral #trending"/>
    <x v="419"/>
    <n v="62814727"/>
    <n v="0"/>
    <n v="0"/>
    <n v="9"/>
    <n v="0"/>
    <n v="6979414.1100000003"/>
    <s v="https://www.youtube.com/shorts/pApFFbxmc0Y"/>
    <n v="58"/>
  </r>
  <r>
    <s v="P5JkYHXbk4g"/>
    <s v="à¸«à¹‰à¸²à¸¡à¹ƒà¸Šà¹‰à¸Šà¹‰à¸­à¸™à¸žà¸¥à¸²à¸ªà¸•à¸´à¸! à¸à¸´à¸™à¸‚à¹‰à¸²à¸§ #food #shorts"/>
    <x v="420"/>
    <n v="91676631"/>
    <n v="1300000"/>
    <n v="4179"/>
    <n v="653"/>
    <n v="1.4226000000000001"/>
    <n v="140393"/>
    <s v="https://www.youtube.com/shorts/P5JkYHXbk4g"/>
    <n v="0"/>
  </r>
  <r>
    <s v="4j88FngpcNY"/>
    <s v="this move is unfair ðŸ˜­ #shorts #skyyjade"/>
    <x v="288"/>
    <n v="326195"/>
    <n v="11000"/>
    <n v="70"/>
    <n v="11"/>
    <n v="3.3936999999999999"/>
    <n v="29654.09"/>
    <s v="https://www.youtube.com/shorts/4j88FngpcNY"/>
    <n v="0"/>
  </r>
  <r>
    <s v="KR9G56cet9Y"/>
    <s v="Little gdwm ðŸ˜ƒ do yall want more?? #fypã‚· #shorts #justjules #relatable #skit #vlog #viral"/>
    <x v="267"/>
    <n v="1885094"/>
    <n v="77000"/>
    <n v="1740"/>
    <n v="6"/>
    <n v="4.1769999999999996"/>
    <n v="314182.33"/>
    <s v="https://www.youtube.com/shorts/KR9G56cet9Y"/>
    <n v="0"/>
  </r>
  <r>
    <s v="wLt8SSgMDEw"/>
    <s v="Misti ne ye sab kaise kar rahi hai ðŸ¤—ðŸ˜ #shorts #viralvideo #trending"/>
    <x v="80"/>
    <n v="4292381"/>
    <n v="0"/>
    <n v="10"/>
    <n v="8"/>
    <n v="2.0000000000000001E-4"/>
    <n v="536547.62"/>
    <s v="https://www.youtube.com/shorts/wLt8SSgMDEw"/>
    <n v="67"/>
  </r>
  <r>
    <s v="m6LeW-yW4Zs"/>
    <s v="Sunny RockzðŸ˜ŽAkka ShockzðŸ˜³ #maithilisreetan #comedy #funny #shorts #ytshorts"/>
    <x v="421"/>
    <n v="369674"/>
    <n v="4100"/>
    <n v="20"/>
    <n v="6"/>
    <n v="1.1145"/>
    <n v="61612.33"/>
    <s v="https://www.youtube.com/shorts/m6LeW-yW4Zs"/>
    <n v="0"/>
  </r>
  <r>
    <s v="xE9b_QupKdo"/>
    <s v="11 MiLLiON DOLLAR HOUSE TOUR ðŸ˜³ðŸ‘€ #shorts"/>
    <x v="422"/>
    <n v="1494229"/>
    <n v="69000"/>
    <n v="1528"/>
    <n v="12"/>
    <n v="4.72"/>
    <n v="124519.08"/>
    <s v="https://www.youtube.com/shorts/xE9b_QupKdo"/>
    <n v="40"/>
  </r>
  <r>
    <s v="7TmWhy3aj30"/>
    <s v="TikTok hay - c122  #shorts #tiktok #xuhuong"/>
    <x v="423"/>
    <n v="321177201"/>
    <n v="2500000"/>
    <n v="4270"/>
    <n v="1121"/>
    <n v="0.77969999999999995"/>
    <n v="286509.55"/>
    <s v="https://www.youtube.com/shorts/7TmWhy3aj30"/>
    <n v="34"/>
  </r>
  <r>
    <s v="XE6MGPWXaeQ"/>
    <s v="#youtube #shorts"/>
    <x v="424"/>
    <n v="156883873"/>
    <n v="937000"/>
    <n v="17145"/>
    <n v="390"/>
    <n v="0.60819999999999996"/>
    <n v="402266.34"/>
    <s v="https://www.youtube.com/shorts/XE6MGPWXaeQ"/>
    <n v="0"/>
  </r>
  <r>
    <s v="oH9-AC7KotE"/>
    <s v="Singillar turi #blogger #food #shorts #love #family #short #shortsvideo #rels #instagtam #uzb"/>
    <x v="74"/>
    <n v="7518032"/>
    <n v="0"/>
    <n v="680"/>
    <n v="541"/>
    <n v="8.9999999999999993E-3"/>
    <n v="13896.55"/>
    <s v="https://www.youtube.com/shorts/oH9-AC7KotE"/>
    <n v="130"/>
  </r>
  <r>
    <s v="tFPBoZnI6h4"/>
    <s v="WE GOT THE GLITTER DUMPLINGðŸ¤© #shorts"/>
    <x v="31"/>
    <n v="805390"/>
    <n v="8800"/>
    <n v="137"/>
    <n v="17"/>
    <n v="1.1095999999999999"/>
    <n v="47375.88"/>
    <s v="https://www.youtube.com/shorts/tFPBoZnI6h4"/>
    <n v="0"/>
  </r>
  <r>
    <s v="O30b1BGQh4k"/>
    <s v="Nadie lo entiendeðŸ§‹ðŸ¥² #bakabakamx #bakita #ASMR #asmrsounds #fyp #shortvideo #shorts #xyzabc"/>
    <x v="425"/>
    <n v="5672378"/>
    <n v="206000"/>
    <n v="2166"/>
    <n v="174"/>
    <n v="3.6698"/>
    <n v="32599.87"/>
    <s v="https://www.youtube.com/shorts/O30b1BGQh4k"/>
    <n v="0"/>
  </r>
  <r>
    <s v="lN78DhoIc0o"/>
    <s v="Doesnâ€™t his brunch look great! #shorts #fyp #cooking #brunch #lunch #burrito #bacon #egg #easy"/>
    <x v="426"/>
    <n v="374659"/>
    <n v="16000"/>
    <n v="87"/>
    <n v="4"/>
    <n v="4.2938000000000001"/>
    <n v="93664.75"/>
    <s v="https://www.youtube.com/shorts/lN78DhoIc0o"/>
    <n v="0"/>
  </r>
  <r>
    <s v="Zifpc5Bg2Eg"/>
    <s v="Alloo chips  WA - 7075579159 #shorts #homemade"/>
    <x v="427"/>
    <n v="1557117"/>
    <n v="22000"/>
    <n v="40"/>
    <n v="4"/>
    <n v="1.4154"/>
    <n v="389279.25"/>
    <s v="https://www.youtube.com/shorts/Zifpc5Bg2Eg"/>
    <n v="0"/>
  </r>
  <r>
    <s v="622IaSjQZ68"/>
    <s v="Comedy stories!ðŸ˜‚ Big remix #shorts"/>
    <x v="428"/>
    <n v="3762943"/>
    <n v="48000"/>
    <n v="92"/>
    <n v="6"/>
    <n v="1.278"/>
    <n v="627157.17000000004"/>
    <s v="https://www.youtube.com/shorts/622IaSjQZ68"/>
    <n v="0"/>
  </r>
  <r>
    <s v="wnTCrg3DwqQ"/>
    <s v="Smart Sensor 3D Night Lamp | Automatic Night Light for Bedroom #shorts #nightlamp #homedecor"/>
    <x v="429"/>
    <n v="359013"/>
    <n v="0"/>
    <n v="16"/>
    <n v="3"/>
    <n v="4.4999999999999997E-3"/>
    <n v="119671"/>
    <s v="https://www.youtube.com/shorts/wnTCrg3DwqQ"/>
    <n v="1121"/>
  </r>
  <r>
    <s v="VxEKnJNlUKw"/>
    <s v="I LOVE PICKLES!! ðŸ¥’ðŸ¥¹ #shorts #cute #trending"/>
    <x v="285"/>
    <n v="1502409"/>
    <n v="15000"/>
    <n v="463"/>
    <n v="7"/>
    <n v="1.0291999999999999"/>
    <n v="214629.86"/>
    <s v="https://www.youtube.com/shorts/VxEKnJNlUKw"/>
    <n v="0"/>
  </r>
  <r>
    <s v="Z0oWa_ym364"/>
    <s v="MY DAUGHTER IS A SAVAGE!!! #shorts #fatherdaughter #dad #daughter"/>
    <x v="275"/>
    <n v="1790689"/>
    <n v="25000"/>
    <n v="249"/>
    <n v="5"/>
    <n v="1.41"/>
    <n v="358137.8"/>
    <s v="https://www.youtube.com/shorts/Z0oWa_ym364"/>
    <n v="865"/>
  </r>
  <r>
    <s v="imgdpOw4zCk"/>
    <s v="INCREDIBLE ball control from PHIL FODEN! ðŸ¥µðŸŒŸ #mancity #football #shorts #shortsvideo #goals #skills"/>
    <x v="430"/>
    <n v="22951164"/>
    <n v="446000"/>
    <n v="2006"/>
    <n v="374"/>
    <n v="1.952"/>
    <n v="61366.75"/>
    <s v="https://www.youtube.com/shorts/imgdpOw4zCk"/>
    <n v="613"/>
  </r>
  <r>
    <s v="QcJ2mCrFo8M"/>
    <s v="Chogada â¤ï¸ðŸ™ #shorts #shortvideos #mrandmrskoranga #love"/>
    <x v="431"/>
    <n v="281270"/>
    <n v="0"/>
    <n v="5"/>
    <n v="1"/>
    <n v="1.8E-3"/>
    <n v="281270"/>
    <s v="https://www.youtube.com/shorts/QcJ2mCrFo8M"/>
    <n v="55"/>
  </r>
  <r>
    <e v="#NAME?"/>
    <s v="The Right Way to Upload YouTube Shorts (Grow FAST in 2026!)"/>
    <x v="432"/>
    <n v="2389830"/>
    <n v="88000"/>
    <n v="18655"/>
    <n v="320"/>
    <n v="4.4629000000000003"/>
    <n v="7468.22"/>
    <s v="https://www.youtube.com/watch?v=-aZDbrbbXTE"/>
    <n v="888"/>
  </r>
  <r>
    <s v="MYSlm5A6zvU"/>
    <s v="Money Is ImportantðŸ¤‘ #trending #comedy #youtube #shorts"/>
    <x v="433"/>
    <n v="31485478"/>
    <n v="192000"/>
    <n v="407"/>
    <n v="307"/>
    <n v="0.61109999999999998"/>
    <n v="102558.56"/>
    <s v="https://www.youtube.com/shorts/MYSlm5A6zvU"/>
    <n v="0"/>
  </r>
  <r>
    <s v="LBlzbehEEJE"/>
    <s v="Clint | A Short Film by Philipp Scholz (with English subtitles)"/>
    <x v="90"/>
    <n v="3482"/>
    <n v="36"/>
    <n v="2"/>
    <n v="3941"/>
    <n v="1.0912999999999999"/>
    <n v="0.88"/>
    <s v="https://www.youtube.com/watch?v=LBlzbehEEJE"/>
    <n v="2512"/>
  </r>
  <r>
    <s v="3y9WWdUgJmQ"/>
    <s v="This took SO many tries ðŸ˜‚ðŸ˜­ #fypã‚· #shorts #justjules #relatable #dance #skit #fail #viral"/>
    <x v="267"/>
    <n v="600282"/>
    <n v="20000"/>
    <n v="278"/>
    <n v="3"/>
    <n v="3.3780999999999999"/>
    <n v="200094"/>
    <s v="https://www.youtube.com/shorts/3y9WWdUgJmQ"/>
    <n v="0"/>
  </r>
  <r>
    <s v="yN3xD5LabUk"/>
    <s v="Best 9 years of our life â¤ï¸ðŸ˜­ #shorts #couple #cute"/>
    <x v="285"/>
    <n v="1814232"/>
    <n v="26000"/>
    <n v="416"/>
    <n v="20"/>
    <n v="1.456"/>
    <n v="90711.6"/>
    <s v="https://www.youtube.com/shorts/yN3xD5LabUk"/>
    <n v="0"/>
  </r>
  <r>
    <s v="fpcX9tFQ6Ng"/>
    <s v="â€œLong distance friendships donâ€™t workâ€ #shorts"/>
    <x v="25"/>
    <n v="202535"/>
    <n v="7000"/>
    <n v="374"/>
    <n v="22"/>
    <n v="3.6408999999999998"/>
    <n v="9206.14"/>
    <s v="https://www.youtube.com/shorts/fpcX9tFQ6Ng"/>
    <n v="0"/>
  </r>
  <r>
    <s v="awrdovbTA6Q"/>
    <s v="Two Teens Arrested For Plot To Kill Classmate #shorts"/>
    <x v="434"/>
    <n v="413630"/>
    <n v="13000"/>
    <n v="1047"/>
    <n v="4"/>
    <n v="3.3959999999999999"/>
    <n v="103407.5"/>
    <s v="https://www.youtube.com/shorts/awrdovbTA6Q"/>
    <n v="96"/>
  </r>
  <r>
    <s v="gyhXMlxdL4A"/>
    <s v="O Antava Oo Antava#Kritikachannel#Shorts funny video"/>
    <x v="403"/>
    <n v="211635304"/>
    <n v="1100000"/>
    <n v="4605"/>
    <n v="408"/>
    <n v="0.52190000000000003"/>
    <n v="518713.98"/>
    <s v="https://www.youtube.com/shorts/gyhXMlxdL4A"/>
    <n v="0"/>
  </r>
  <r>
    <s v="Ec8u2Ibs8_s"/>
    <s v="Qual Ã© vocÃª? ðŸ˜‚ #shorts #popteen #tiktok"/>
    <x v="435"/>
    <n v="6799795"/>
    <n v="95000"/>
    <n v="225"/>
    <n v="324"/>
    <n v="1.4004000000000001"/>
    <n v="20987.02"/>
    <s v="https://www.youtube.com/shorts/Ec8u2Ibs8_s"/>
    <n v="0"/>
  </r>
  <r>
    <s v="twvQQjX4kgQ"/>
    <s v="Don't miss the endðŸ˜¢ #shorts #trending #youtubeshorts #viralvideo #fooddonation"/>
    <x v="436"/>
    <n v="1143654"/>
    <n v="50000"/>
    <n v="693"/>
    <n v="4"/>
    <n v="4.4325000000000001"/>
    <n v="285913.5"/>
    <s v="https://www.youtube.com/shorts/twvQQjX4kgQ"/>
    <n v="166"/>
  </r>
  <r>
    <s v="8EsEZEhqe0Q"/>
    <s v="Kisne kiya Phone Chori!#trending #funny #shorts #tmkoc #jethalal #tmkocmemes #ipl"/>
    <x v="437"/>
    <n v="1014723"/>
    <n v="18000"/>
    <n v="45"/>
    <n v="7"/>
    <n v="1.7783"/>
    <n v="144960.43"/>
    <s v="https://www.youtube.com/shorts/8EsEZEhqe0Q"/>
    <n v="4552"/>
  </r>
  <r>
    <s v="HgkNmCWn1j4"/>
    <s v="Who else loves playing with black eyeshadowâœ¨: #shorts #short #StarkMakeup"/>
    <x v="438"/>
    <n v="27731832"/>
    <n v="216000"/>
    <n v="6559"/>
    <n v="395"/>
    <n v="0.80249999999999999"/>
    <n v="70207.17"/>
    <s v="https://www.youtube.com/shorts/HgkNmCWn1j4"/>
    <n v="73"/>
  </r>
  <r>
    <s v="O3fElxtslSg"/>
    <s v="What did Misti add to her father food ðŸ˜²ðŸ¤£ðŸ¤ª #shorts #viralvideo #trending #mistihappylifestyle"/>
    <x v="80"/>
    <n v="45766716"/>
    <n v="0"/>
    <n v="0"/>
    <n v="14"/>
    <n v="0"/>
    <n v="3269051.14"/>
    <s v="https://www.youtube.com/shorts/O3fElxtslSg"/>
    <n v="92"/>
  </r>
  <r>
    <s v="FWPzJ4uoiHY"/>
    <s v="A wax candy set would cost this muchðŸ’° #shorts #candy"/>
    <x v="439"/>
    <n v="7493042"/>
    <n v="203000"/>
    <n v="3954"/>
    <n v="270"/>
    <n v="2.7618999999999998"/>
    <n v="27752.01"/>
    <s v="https://www.youtube.com/shorts/FWPzJ4uoiHY"/>
    <n v="0"/>
  </r>
  <r>
    <s v="Lhu5HWSUxrU"/>
    <s v="Sasural Ke Reception Party Me Pahunche Rangila Or LaxmiðŸ˜˜ #shorts"/>
    <x v="440"/>
    <n v="1345702"/>
    <n v="20000"/>
    <n v="39"/>
    <n v="6"/>
    <n v="1.4891000000000001"/>
    <n v="224283.67"/>
    <s v="https://www.youtube.com/shorts/Lhu5HWSUxrU"/>
    <n v="0"/>
  </r>
  <r>
    <s v="D4I7IOGSQUA"/>
    <s v="Peppa Vamos Al BaÃ±o Parte 2 ðŸ–#animaciÃ³n #memes #shorts"/>
    <x v="441"/>
    <n v="50956230"/>
    <n v="1000000"/>
    <n v="11232"/>
    <n v="768"/>
    <n v="1.9844999999999999"/>
    <n v="66349.259999999995"/>
    <s v="https://www.youtube.com/shorts/D4I7IOGSQUA"/>
    <n v="0"/>
  </r>
  <r>
    <s v="odm1Om-W-0c"/>
    <s v="(5) Magnetic wheel | Mom or Dad #matthewcraft #minecraft #cashminecraft #shorts"/>
    <x v="442"/>
    <n v="3645097"/>
    <n v="29000"/>
    <n v="55"/>
    <n v="9"/>
    <n v="0.79710000000000003"/>
    <n v="405010.78"/>
    <s v="https://www.youtube.com/shorts/odm1Om-W-0c"/>
    <n v="858"/>
  </r>
  <r>
    <s v="jUVgYttT-No"/>
    <s v="Un ladro in casa ðŸ˜± #shorts #short"/>
    <x v="443"/>
    <n v="5074300"/>
    <n v="189000"/>
    <n v="1674"/>
    <n v="1049"/>
    <n v="3.7576000000000001"/>
    <n v="4837.2700000000004"/>
    <s v="https://www.youtube.com/shorts/jUVgYttT-No"/>
    <n v="0"/>
  </r>
  <r>
    <s v="eOFI_ddla0I"/>
    <s v="Kacche chawal se bnaya sach me #shorts #bristihomekitchen #nuggets"/>
    <x v="444"/>
    <n v="2861327"/>
    <n v="47000"/>
    <n v="192"/>
    <n v="7"/>
    <n v="1.6493"/>
    <n v="408761"/>
    <s v="https://www.youtube.com/shorts/eOFI_ddla0I"/>
    <n v="0"/>
  </r>
  <r>
    <s v="BL7s78QUf4c"/>
    <s v="This LEGO Helmet Isn't What It Seems... #lego #shorts #legos"/>
    <x v="445"/>
    <n v="830163"/>
    <n v="18000"/>
    <n v="134"/>
    <n v="7"/>
    <n v="2.1844000000000001"/>
    <n v="118594.71"/>
    <s v="https://www.youtube.com/shorts/BL7s78QUf4c"/>
    <n v="500"/>
  </r>
  <r>
    <s v="ncqJ1GfOFkc"/>
    <s v="Jab Smiti Ke Sath Smiti Ke Papa Share Karte Hai ðŸ˜‚ðŸ˜‚ðŸ˜‚ #shorts #funnyvedios"/>
    <x v="446"/>
    <n v="217495"/>
    <n v="1000"/>
    <n v="1"/>
    <n v="6"/>
    <n v="0.4602"/>
    <n v="36249.17"/>
    <s v="https://www.youtube.com/shorts/ncqJ1GfOFkc"/>
    <n v="0"/>
  </r>
  <r>
    <s v="EOpQYBcJOYs"/>
    <s v="Last option ðŸ˜‚ðŸ¤£ #shorts #ytshorts #couplegoals #khwahishgal"/>
    <x v="238"/>
    <n v="21406403"/>
    <n v="229000"/>
    <n v="463"/>
    <n v="256"/>
    <n v="1.0719000000000001"/>
    <n v="83618.759999999995"/>
    <s v="https://www.youtube.com/shorts/EOpQYBcJOYs"/>
    <n v="0"/>
  </r>
  <r>
    <s v="Gb3xPXFUhi8"/>
    <s v="Kids in Holi ðŸ˜†ðŸ˜† #Shorts #Viral #comedy #holi"/>
    <x v="447"/>
    <n v="3322799"/>
    <n v="28000"/>
    <n v="39"/>
    <n v="15"/>
    <n v="0.84379999999999999"/>
    <n v="221519.93"/>
    <s v="https://www.youtube.com/shorts/Gb3xPXFUhi8"/>
    <n v="0"/>
  </r>
  <r>
    <s v="yiqaKKOSo4o"/>
    <s v="Khushi ka bakri ðŸ˜ðŸ˜comedy video #shortsviral #reels #tranding #shorts #reels #funny"/>
    <x v="448"/>
    <n v="7833512"/>
    <n v="0"/>
    <n v="0"/>
    <n v="7"/>
    <n v="0"/>
    <n v="1119073.1399999999"/>
    <s v="https://www.youtube.com/shorts/yiqaKKOSo4o"/>
    <n v="0"/>
  </r>
  <r>
    <s v="ANOaECU0t_8"/>
    <s v="Tom ðŸ“ Jerry (Nandhu&amp;Ammu)Real End TwistðŸ˜ðŸŽˆ #shorts #viral #v5familyshow"/>
    <x v="449"/>
    <n v="3448976"/>
    <n v="61000"/>
    <n v="0"/>
    <n v="16"/>
    <n v="1.7685999999999999"/>
    <n v="215561"/>
    <s v="https://www.youtube.com/shorts/ANOaECU0t_8"/>
    <n v="708"/>
  </r>
  <r>
    <s v="_mr0VmPrHHs"/>
    <s v="Holi With Short Height WifeðŸ˜‚ #shorts #teratrigun #shortheight"/>
    <x v="401"/>
    <n v="119774016"/>
    <n v="1300000"/>
    <n v="6711"/>
    <n v="17"/>
    <n v="1.091"/>
    <n v="7045530.3499999996"/>
    <s v="https://www.youtube.com/shorts/_mr0VmPrHHs"/>
    <n v="28"/>
  </r>
  <r>
    <s v="3lelLbzRttA"/>
    <s v="Myntra Spring short kurti finds ðŸª·âœ¨ #myntrafinds #shortkurti #springkurti #shorts #fypã‚·"/>
    <x v="450"/>
    <n v="765805"/>
    <n v="14000"/>
    <n v="55"/>
    <n v="6"/>
    <n v="1.8352999999999999"/>
    <n v="127634.17"/>
    <s v="https://www.youtube.com/shorts/3lelLbzRttA"/>
    <n v="0"/>
  </r>
  <r>
    <s v="x088NfGGbFw"/>
    <s v="Aali ka chuchu ðŸ¥ #trending #comedy #youtubeshorts #shorts"/>
    <x v="75"/>
    <n v="8878067"/>
    <n v="104000"/>
    <n v="40"/>
    <n v="398"/>
    <n v="1.1718999999999999"/>
    <n v="22306.7"/>
    <s v="https://www.youtube.com/shorts/x088NfGGbFw"/>
    <n v="0"/>
  </r>
  <r>
    <s v="nR5OKDy3WkQ"/>
    <s v="Papa Kanha ne sahi nahi kiya ðŸ¤£ðŸ˜Ž #funny #trending #shorts"/>
    <x v="451"/>
    <n v="7035544"/>
    <n v="26000"/>
    <n v="0"/>
    <n v="11"/>
    <n v="0.36959999999999998"/>
    <n v="639594.91"/>
    <s v="https://www.youtube.com/shorts/nR5OKDy3WkQ"/>
    <n v="0"/>
  </r>
  <r>
    <s v="0PspC_Cw01o"/>
    <s v="PERSONALIZANDO mi TOP y mi CHAQUETA para un eventoðŸ’™ : #shorts #short #siiara_"/>
    <x v="452"/>
    <n v="96246"/>
    <n v="3700"/>
    <n v="18"/>
    <n v="5"/>
    <n v="3.863"/>
    <n v="19249.2"/>
    <s v="https://www.youtube.com/shorts/0PspC_Cw01o"/>
    <n v="77"/>
  </r>
  <r>
    <s v="t2R83RpQBAQ"/>
    <s v="Back to School | ï¿¼Part 1 | Stationary Shopping 2026 #shorts"/>
    <x v="453"/>
    <n v="2007258"/>
    <n v="11000"/>
    <n v="97"/>
    <n v="6"/>
    <n v="0.55279999999999996"/>
    <n v="334543"/>
    <s v="https://www.youtube.com/shorts/t2R83RpQBAQ"/>
    <n v="631"/>
  </r>
  <r>
    <s v="M-5yiuTTxYs"/>
    <s v="Indian mother things ðŸ¤£ #shorts #comefyvideos #ytshorts"/>
    <x v="365"/>
    <n v="130483"/>
    <n v="811"/>
    <n v="1"/>
    <n v="6"/>
    <n v="0.62229999999999996"/>
    <n v="21747.17"/>
    <s v="https://www.youtube.com/shorts/M-5yiuTTxYs"/>
    <n v="0"/>
  </r>
  <r>
    <s v="tiUQl8GQ9m8"/>
    <s v="Mama ke à¤–à¤¿à¤²à¥‹à¤¨à¥‡ à¤šà¥‹à¤°à¥€ à¤¹à¥‹ à¤—à¤¯à¤¾ ðŸ˜± #shorts #maa #funnyshorts #chori"/>
    <x v="454"/>
    <n v="942455"/>
    <n v="7700"/>
    <n v="0"/>
    <n v="9"/>
    <n v="0.81699999999999995"/>
    <n v="104717.22"/>
    <s v="https://www.youtube.com/shorts/tiUQl8GQ9m8"/>
    <n v="210"/>
  </r>
  <r>
    <s v="M7u9tr_GTdE"/>
    <s v="They are late for their concert, and then this happened... ðŸ˜± #shorts"/>
    <x v="455"/>
    <n v="177041"/>
    <n v="3300"/>
    <n v="7"/>
    <n v="11"/>
    <n v="1.8678999999999999"/>
    <n v="16094.64"/>
    <s v="https://www.youtube.com/shorts/M7u9tr_GTdE"/>
    <n v="0"/>
  </r>
  <r>
    <s v="NgdRu7dT2-g"/>
    <s v="TomðŸ“Jerry (Rithvi&amp;Kavi)Real End TwistðŸ˜‚ ðŸ’ #shorts"/>
    <x v="272"/>
    <n v="471482731"/>
    <n v="4100000"/>
    <n v="0"/>
    <n v="237"/>
    <n v="0.86960000000000004"/>
    <n v="1989378.61"/>
    <s v="https://www.youtube.com/shorts/NgdRu7dT2-g"/>
    <n v="25"/>
  </r>
  <r>
    <s v="gw5mzv37S_8"/>
    <s v="9 year old SEARCHES for VIRAL GLITTER DUMPLINGS âœ¨ðŸ¥² #momlife #family #unboxing #shorts"/>
    <x v="388"/>
    <n v="843862"/>
    <n v="23000"/>
    <n v="129"/>
    <n v="19"/>
    <n v="2.7408999999999999"/>
    <n v="44413.79"/>
    <s v="https://www.youtube.com/shorts/gw5mzv37S_8"/>
    <n v="0"/>
  </r>
  <r>
    <s v="qGvreciOgVs"/>
    <s v="The Sweetest Sister Ever ðŸ¥¹ðŸ’™ #shorts #reaction #Deaf #siblings"/>
    <x v="275"/>
    <n v="1687898"/>
    <n v="33000"/>
    <n v="563"/>
    <n v="8"/>
    <n v="1.9883999999999999"/>
    <n v="210987.25"/>
    <s v="https://www.youtube.com/shorts/qGvreciOgVs"/>
    <n v="861"/>
  </r>
  <r>
    <s v="CzfeLvFmMts"/>
    <s v="LE RÃ‰SULTAT !!! crÃ©dit #short #shorts #claraminse"/>
    <x v="456"/>
    <n v="88275"/>
    <n v="1000"/>
    <n v="11"/>
    <n v="181"/>
    <n v="1.1453"/>
    <n v="487.71"/>
    <s v="https://www.youtube.com/shorts/CzfeLvFmMts"/>
    <n v="49"/>
  </r>
  <r>
    <s v="jQkIt_ZnF4g"/>
    <s v="JihanðŸ˜Ž Vs Saheb ðŸ¥¸| ðŸ¤ªðŸ˜‚ #shorts #jihanshorts #comedy #youtubeshorts #trendingshorts"/>
    <x v="457"/>
    <n v="12557883"/>
    <n v="105000"/>
    <n v="88"/>
    <n v="263"/>
    <n v="0.83679999999999999"/>
    <n v="47748.6"/>
    <s v="https://www.youtube.com/shorts/jQkIt_ZnF4g"/>
    <n v="81"/>
  </r>
  <r>
    <s v="GTGsXBcgd04"/>
    <s v="Unlock Audio Interface Flexibility #shorts"/>
    <x v="458"/>
    <n v="3024"/>
    <n v="76"/>
    <n v="1"/>
    <n v="1"/>
    <n v="2.5463"/>
    <n v="3024"/>
    <s v="https://www.youtube.com/shorts/GTGsXBcgd04"/>
    <n v="178"/>
  </r>
  <r>
    <s v="RjofNW4ssFw"/>
    <s v="Las HUNTRIX son TIKTOKERS en las GUERRERAS K-POP ðŸ˜­ðŸ˜­ #shorts"/>
    <x v="459"/>
    <n v="10881774"/>
    <n v="193000"/>
    <n v="10228"/>
    <n v="163"/>
    <n v="1.8675999999999999"/>
    <n v="66759.350000000006"/>
    <s v="https://www.youtube.com/shorts/RjofNW4ssFw"/>
    <n v="111"/>
  </r>
  <r>
    <s v="EAInEIO7_TI"/>
    <s v="Wer weiÃŸ was das bedeutet ? ðŸ˜­â¤ï¸ #shorts #videogames"/>
    <x v="460"/>
    <n v="342155"/>
    <n v="7000"/>
    <n v="82"/>
    <n v="6"/>
    <n v="2.0697999999999999"/>
    <n v="57025.83"/>
    <s v="https://www.youtube.com/shorts/EAInEIO7_TI"/>
    <n v="0"/>
  </r>
  <r>
    <s v="fu2OdeGmtao"/>
    <s v="POOR but still HAPPY ðŸ˜ƒ  #shorts #couple #comedy"/>
    <x v="248"/>
    <n v="5027781"/>
    <n v="113000"/>
    <n v="717"/>
    <n v="7"/>
    <n v="2.2618"/>
    <n v="718254.43"/>
    <s v="https://www.youtube.com/shorts/fu2OdeGmtao"/>
    <n v="0"/>
  </r>
  <r>
    <s v="lKLirc23ku8"/>
    <s v="o boi estava limpando a casa #shorts"/>
    <x v="461"/>
    <n v="36989730"/>
    <n v="0"/>
    <n v="259"/>
    <n v="995"/>
    <n v="6.9999999999999999E-4"/>
    <n v="37175.61"/>
    <s v="https://www.youtube.com/shorts/lKLirc23ku8"/>
    <n v="7"/>
  </r>
  <r>
    <s v="374TzrGxEuw"/>
    <s v="Alles auÃŸer ChatGPT... ðŸ˜³ðŸ˜‚ | Mohi__07 #shorts"/>
    <x v="462"/>
    <n v="1183745"/>
    <n v="36000"/>
    <n v="279"/>
    <n v="6"/>
    <n v="3.0648"/>
    <n v="197290.83"/>
    <s v="https://www.youtube.com/shorts/374TzrGxEuw"/>
    <n v="83"/>
  </r>
  <r>
    <s v="xi7qvBW31GI"/>
    <s v="PRETEND THE TEACHER JUST LEFT ðŸ’ƒ #dance #viral #shorts"/>
    <x v="320"/>
    <n v="182433"/>
    <n v="1900"/>
    <n v="240"/>
    <n v="11"/>
    <n v="1.173"/>
    <n v="16584.82"/>
    <s v="https://www.youtube.com/shorts/xi7qvBW31GI"/>
    <n v="1163"/>
  </r>
  <r>
    <s v="w8hHHbJuSbs"/>
    <s v="Junior CrushðŸ˜»Part-23|Watch till The EndðŸ™ˆ#sharmilageorge #shorts"/>
    <x v="265"/>
    <n v="1589037"/>
    <n v="74000"/>
    <n v="420"/>
    <n v="23"/>
    <n v="4.6833"/>
    <n v="69088.570000000007"/>
    <s v="https://www.youtube.com/shorts/w8hHHbJuSbs"/>
    <n v="63"/>
  </r>
  <r>
    <s v="J6y2Xwmew94"/>
    <s v="Gullak Ki Gas ðŸ¤¢ðŸ˜« Day 729 #minivlog #ashortaday #tranding #shorts #omnamahshivay"/>
    <x v="463"/>
    <n v="3565053"/>
    <n v="28000"/>
    <n v="102"/>
    <n v="7"/>
    <n v="0.7883"/>
    <n v="509293.29"/>
    <s v="https://www.youtube.com/shorts/J6y2Xwmew94"/>
    <n v="131"/>
  </r>
  <r>
    <s v="_1U1p-M1G0A"/>
    <s v="Mc Lorenzo foi na dentistaðŸ˜³ #mclorenzo #shortvideo #humor #dentista #shorts #short"/>
    <x v="464"/>
    <n v="56143478"/>
    <n v="684000"/>
    <n v="2002"/>
    <n v="425"/>
    <n v="1.2219"/>
    <n v="132102.29999999999"/>
    <s v="https://www.youtube.com/shorts/_1U1p-M1G0A"/>
    <n v="0"/>
  </r>
  <r>
    <s v="sITPxYGE_fU"/>
    <s v="Is gao ki unpad mitti #Shorts #funny #comedy"/>
    <x v="277"/>
    <n v="8737925"/>
    <n v="84000"/>
    <n v="289"/>
    <n v="14"/>
    <n v="0.96460000000000001"/>
    <n v="624137.5"/>
    <s v="https://www.youtube.com/shorts/sITPxYGE_fU"/>
    <n v="0"/>
  </r>
  <r>
    <s v="n5MoNav8YPI"/>
    <s v="That one Kid On Birthday ðŸŽ‚ #shorts #viral #comedy #shortvideos"/>
    <x v="447"/>
    <n v="988984"/>
    <n v="13000"/>
    <n v="53"/>
    <n v="7"/>
    <n v="1.3198000000000001"/>
    <n v="141283.43"/>
    <s v="https://www.youtube.com/shorts/n5MoNav8YPI"/>
    <n v="0"/>
  </r>
  <r>
    <s v="y0PDsDzYCLU"/>
    <s v="Rudra Mansi ke liye pakode banae #shorts #maa #village #love"/>
    <x v="465"/>
    <n v="2628015"/>
    <n v="19000"/>
    <n v="16"/>
    <n v="14"/>
    <n v="0.72360000000000002"/>
    <n v="187715.36"/>
    <s v="https://www.youtube.com/shorts/y0PDsDzYCLU"/>
    <n v="214"/>
  </r>
  <r>
    <s v="RigPz-Bo2B0"/>
    <s v="Los solteros en San Valentin ðŸ’ðŸ˜‚ #shorts #humor #tiktokvideo #latina #comedia #funny #peru #fyp"/>
    <x v="260"/>
    <n v="100781562"/>
    <n v="1300000"/>
    <n v="4617"/>
    <n v="397"/>
    <n v="1.2945"/>
    <n v="253857.84"/>
    <s v="https://www.youtube.com/shorts/RigPz-Bo2B0"/>
    <n v="0"/>
  </r>
  <r>
    <s v="40sADWKtv5U"/>
    <s v="Yevariki Loss?ðŸ¤£ðŸ¤£ðŸ¤£ðŸ¤£ #maithilisreetan #comedy #funny #shorts #ytshorts #viral"/>
    <x v="421"/>
    <n v="303205"/>
    <n v="2800"/>
    <n v="616"/>
    <n v="8"/>
    <n v="1.1266"/>
    <n v="37900.620000000003"/>
    <s v="https://www.youtube.com/shorts/40sADWKtv5U"/>
    <n v="0"/>
  </r>
  <r>
    <s v="IBbtGAHBkYs"/>
    <s v="Classroom Kaadhal Episode - 48â¤ï¸ | Wait for twist ðŸ˜…  #shorts #jennimj #ytshorts"/>
    <x v="466"/>
    <n v="1679566"/>
    <n v="104000"/>
    <n v="721"/>
    <n v="9"/>
    <n v="6.2350000000000003"/>
    <n v="186618.44"/>
    <s v="https://www.youtube.com/shorts/IBbtGAHBkYs"/>
    <n v="199"/>
  </r>
  <r>
    <s v="9alrl4d7AjQ"/>
    <s v="Biggest Samosa For All Samosa LoversðŸ˜ | Chahat Anand | #shorts"/>
    <x v="467"/>
    <n v="175719025"/>
    <n v="0"/>
    <n v="5523"/>
    <n v="1235"/>
    <n v="3.0999999999999999E-3"/>
    <n v="142282.60999999999"/>
    <s v="https://www.youtube.com/shorts/9alrl4d7AjQ"/>
    <n v="243"/>
  </r>
  <r>
    <s v="Rx-JpT7qIUc"/>
    <s v="CANâ€™T BELIEVE THIS HAPPENED ðŸ˜±ðŸ¥¹ @Shafar_sjc #shorts #trends #viral"/>
    <x v="289"/>
    <n v="3447725"/>
    <n v="39000"/>
    <n v="452"/>
    <n v="7"/>
    <n v="1.1443000000000001"/>
    <n v="492532.14"/>
    <s v="https://www.youtube.com/shorts/Rx-JpT7qIUc"/>
    <n v="812"/>
  </r>
  <r>
    <s v="feNU4LlhYfw"/>
    <s v="Ich VS Mittelalter... ðŸ˜‚ðŸ˜‚ #lidiro #shorts"/>
    <x v="468"/>
    <n v="1195483"/>
    <n v="42000"/>
    <n v="84"/>
    <n v="14"/>
    <n v="3.5203000000000002"/>
    <n v="85391.64"/>
    <s v="https://www.youtube.com/shorts/feNU4LlhYfw"/>
    <n v="32"/>
  </r>
  <r>
    <s v="5jyECPiesBc"/>
    <s v="POV: Ese AMIGO que tiene PISCINA...ðŸ›ŸðŸ¤© #humor #comedia #shorts"/>
    <x v="469"/>
    <n v="15004408"/>
    <n v="224000"/>
    <n v="357"/>
    <n v="199"/>
    <n v="1.4953000000000001"/>
    <n v="75399.039999999994"/>
    <s v="https://www.youtube.com/shorts/5jyECPiesBc"/>
    <n v="0"/>
  </r>
  <r>
    <s v="kvOsGFvqebU"/>
    <s v="How to elevate your shortest shorts in the world outfit ðŸ’™ 1-4? Which one are you picking?"/>
    <x v="470"/>
    <n v="223664"/>
    <n v="1300"/>
    <n v="14"/>
    <n v="8"/>
    <n v="0.58750000000000002"/>
    <n v="27958"/>
    <s v="https://www.youtube.com/shorts/kvOsGFvqebU"/>
    <n v="0"/>
  </r>
  <r>
    <s v="rN4QqFyrNOY"/>
    <s v="Er muss die kleinen von den groÃŸen trennen ðŸ¤¯ #shorts"/>
    <x v="471"/>
    <n v="529726"/>
    <n v="0"/>
    <n v="11"/>
    <n v="4"/>
    <n v="2.0999999999999999E-3"/>
    <n v="132431.5"/>
    <s v="https://www.youtube.com/shorts/rN4QqFyrNOY"/>
    <n v="704"/>
  </r>
  <r>
    <s v="s4nwAqUHSSg"/>
    <s v="Eroju lunch Amma AdharakotesindhiðŸ¤¤â¤ï¸#ishqyouall #swv #telugu #youtube #shorts"/>
    <x v="472"/>
    <n v="4091931"/>
    <n v="41000"/>
    <n v="64"/>
    <n v="14"/>
    <n v="1.0035000000000001"/>
    <n v="292280.78999999998"/>
    <s v="https://www.youtube.com/shorts/s4nwAqUHSSg"/>
    <n v="0"/>
  </r>
  <r>
    <s v="rZG9aipfsNQ"/>
    <s v="Rasam Ka Galat Fayda ðŸ˜… | #shorts | Shorts Break"/>
    <x v="305"/>
    <n v="51103145"/>
    <n v="994000"/>
    <n v="2908"/>
    <n v="92"/>
    <n v="1.9508000000000001"/>
    <n v="555468.97"/>
    <s v="https://www.youtube.com/shorts/rZG9aipfsNQ"/>
    <n v="393"/>
  </r>
  <r>
    <s v="qBC1SHlour0"/>
    <s v="Wait for the twist ðŸ˜‚ #comedy #comedyvideo #shorts #youtubeshorts #funny #funnyvideo"/>
    <x v="473"/>
    <n v="1398262"/>
    <n v="27000"/>
    <n v="123"/>
    <n v="8"/>
    <n v="1.9398"/>
    <n v="174782.75"/>
    <s v="https://www.youtube.com/shorts/qBC1SHlour0"/>
    <n v="0"/>
  </r>
  <r>
    <s v="0saYNLTJnw8"/>
    <s v="Was gibt es Lustiges bei Euch?! #shorts"/>
    <x v="474"/>
    <n v="1223390"/>
    <n v="24000"/>
    <n v="70"/>
    <n v="4"/>
    <n v="1.9675"/>
    <n v="305847.5"/>
    <s v="https://www.youtube.com/shorts/0saYNLTJnw8"/>
    <n v="0"/>
  </r>
  <r>
    <s v="VdwsyRhYFNg"/>
    <s v="ComemoraÃ§Ãµes BIZARRAS no FUTEBOLâ€¦ ðŸ˜³ #shorts"/>
    <x v="475"/>
    <n v="2792422"/>
    <n v="57000"/>
    <n v="185"/>
    <n v="191"/>
    <n v="2.0478999999999998"/>
    <n v="14620.01"/>
    <s v="https://www.youtube.com/shorts/VdwsyRhYFNg"/>
    <n v="383"/>
  </r>
  <r>
    <s v="BUyuRzSUlVg"/>
    <s v="ðŸ¤¤Mutton shahi Roll #subscribe #shorts #youtube #youtubeindia #cooking #shortvideo #food"/>
    <x v="476"/>
    <n v="3604550"/>
    <n v="67000"/>
    <n v="258"/>
    <n v="13"/>
    <n v="1.8658999999999999"/>
    <n v="277273.08"/>
    <s v="https://www.youtube.com/shorts/BUyuRzSUlVg"/>
    <n v="0"/>
  </r>
  <r>
    <s v="oOs22gv9Abs"/>
    <s v="Nur Familien verstehen diesen Skill ðŸ¤« 2.0 #shorts Mamiseelen"/>
    <x v="477"/>
    <n v="5322012"/>
    <n v="48000"/>
    <n v="239"/>
    <n v="156"/>
    <n v="0.90639999999999998"/>
    <n v="34115.46"/>
    <s v="https://www.youtube.com/shorts/oOs22gv9Abs"/>
    <n v="0"/>
  </r>
  <r>
    <s v="Q_x4uFilDL0"/>
    <s v="That one chor teacher ðŸ˜‚ #shorts #viral #explorepage #relatable #chor"/>
    <x v="478"/>
    <n v="11458406"/>
    <n v="114000"/>
    <n v="329"/>
    <n v="9"/>
    <n v="0.99780000000000002"/>
    <n v="1273156.22"/>
    <s v="https://www.youtube.com/shorts/Q_x4uFilDL0"/>
    <n v="0"/>
  </r>
  <r>
    <s v="IlS5NsBDAS4"/>
    <s v="Amaira ka Cake ðŸŽ‚ðŸ¥° #shorts #comedy"/>
    <x v="479"/>
    <n v="6762389"/>
    <n v="26000"/>
    <n v="13"/>
    <n v="11"/>
    <n v="0.38469999999999999"/>
    <n v="614762.64"/>
    <s v="https://www.youtube.com/shorts/IlS5NsBDAS4"/>
    <n v="0"/>
  </r>
  <r>
    <s v="nbgbi2fjHiI"/>
    <s v="Tag your tall or short friend ðŸ¤­ #relatable #funny #duo #short #fyp"/>
    <x v="480"/>
    <n v="819224"/>
    <n v="15000"/>
    <n v="112"/>
    <n v="9"/>
    <n v="1.8447"/>
    <n v="91024.89"/>
    <s v="https://www.youtube.com/shorts/nbgbi2fjHiI"/>
    <n v="0"/>
  </r>
  <r>
    <s v="OKLFAhxGwLo"/>
    <s v="Comment if you ca do this! #jonathanjoly #shorts"/>
    <x v="26"/>
    <n v="532340"/>
    <n v="4100"/>
    <n v="435"/>
    <n v="10"/>
    <n v="0.85189999999999999"/>
    <n v="53234"/>
    <s v="https://www.youtube.com/shorts/OKLFAhxGwLo"/>
    <n v="0"/>
  </r>
  <r>
    <s v="WavM8N3IQ_A"/>
    <s v="ZKOUÅ ÃM VIRÃLNÃ MALINY / #shorts"/>
    <x v="481"/>
    <n v="161006"/>
    <n v="6400"/>
    <n v="36"/>
    <n v="5"/>
    <n v="3.9973999999999998"/>
    <n v="32201.200000000001"/>
    <s v="https://www.youtube.com/shorts/WavM8N3IQ_A"/>
    <n v="0"/>
  </r>
  <r>
    <s v="tlQuOx0d3gI"/>
    <s v="PATRICINHAS DE FILMES - bÃ¡rbara coura #shorts"/>
    <x v="482"/>
    <n v="22524988"/>
    <n v="918000"/>
    <n v="2531"/>
    <n v="813"/>
    <n v="4.0867000000000004"/>
    <n v="27706.01"/>
    <s v="https://www.youtube.com/shorts/tlQuOx0d3gI"/>
    <n v="0"/>
  </r>
  <r>
    <s v="xFB8yOf2G3c"/>
    <s v="Misti Takli bana diya ðŸ‘¶ðŸ¤£ðŸ¤ªðŸ¤— #shorts #viralvideos #trending #funnyvideos"/>
    <x v="80"/>
    <n v="9036297"/>
    <n v="0"/>
    <n v="0"/>
    <n v="10"/>
    <n v="0"/>
    <n v="903629.7"/>
    <s v="https://www.youtube.com/shorts/xFB8yOf2G3c"/>
    <n v="70"/>
  </r>
  <r>
    <s v="uQM8E1sIAz8"/>
    <s v="Preise erraten ChallengeðŸ˜³ #shorts"/>
    <x v="483"/>
    <n v="1699376"/>
    <n v="54000"/>
    <n v="82"/>
    <n v="993"/>
    <n v="3.1825000000000001"/>
    <n v="1711.36"/>
    <s v="https://www.youtube.com/shorts/uQM8E1sIAz8"/>
    <n v="0"/>
  </r>
  <r>
    <s v="xxMT2cCXt78"/>
    <s v="When You Have Short Height WifeðŸ˜‚ #shorts #teratrigun #shortheight"/>
    <x v="401"/>
    <n v="45022497"/>
    <n v="474000"/>
    <n v="1268"/>
    <n v="44"/>
    <n v="1.0556000000000001"/>
    <n v="1023238.57"/>
    <s v="https://www.youtube.com/shorts/xxMT2cCXt78"/>
    <n v="32"/>
  </r>
  <r>
    <s v="W8ApY9q9ho0"/>
    <s v="Fake love ðŸ¥¹â¤ï¸ ( Part - 1 ) #shorts #youtubeshorts"/>
    <x v="484"/>
    <n v="4690842"/>
    <n v="78000"/>
    <n v="79"/>
    <n v="4"/>
    <n v="1.6645000000000001"/>
    <n v="1172710.5"/>
    <s v="https://www.youtube.com/shorts/W8ApY9q9ho0"/>
    <n v="0"/>
  </r>
  <r>
    <s v="23LmHogE64I"/>
    <s v="Closest To 25 Pieces Win The GameðŸ˜œ #shorts"/>
    <x v="485"/>
    <n v="8782891"/>
    <n v="185000"/>
    <n v="201"/>
    <n v="7"/>
    <n v="2.1086999999999998"/>
    <n v="1254698.71"/>
    <s v="https://www.youtube.com/shorts/23LmHogE64I"/>
    <n v="0"/>
  </r>
  <r>
    <s v="dzcti8eoanM"/>
    <s v="Da hat er den falschen jungen erwischt #shorts"/>
    <x v="486"/>
    <n v="75008"/>
    <n v="3100"/>
    <n v="10"/>
    <n v="6"/>
    <n v="4.1462000000000003"/>
    <n v="12501.33"/>
    <s v="https://www.youtube.com/shorts/dzcti8eoanM"/>
    <n v="145"/>
  </r>
  <r>
    <s v="WWkuKPSMd1I"/>
    <s v="Who did it best!! ðŸ‘€ #jonathanjoly #shorts"/>
    <x v="26"/>
    <n v="691448"/>
    <n v="5500"/>
    <n v="324"/>
    <n v="9"/>
    <n v="0.84230000000000005"/>
    <n v="76827.56"/>
    <s v="https://www.youtube.com/shorts/WWkuKPSMd1I"/>
    <n v="0"/>
  </r>
  <r>
    <s v="VRWecpC1Nf4"/>
    <s v="Tillu ki Ghar main Swimming PoolðŸŒŠðŸ¤£#shorts #comedy #funny #olidavines"/>
    <x v="283"/>
    <n v="58727880"/>
    <n v="375000"/>
    <n v="102"/>
    <n v="19"/>
    <n v="0.63870000000000005"/>
    <n v="3090941.05"/>
    <s v="https://www.youtube.com/shorts/VRWecpC1Nf4"/>
    <n v="298"/>
  </r>
  <r>
    <s v="ZPTw61AUyP4"/>
    <s v="SANAðŸ‘©â€â¤ï¸â€ðŸ‘¨ Unplanned FeelingsðŸ’•|  Episode - 3ï¸âƒ£ #shortfilm #love #shorts #family"/>
    <x v="152"/>
    <n v="4364671"/>
    <n v="79000"/>
    <n v="242"/>
    <n v="19"/>
    <n v="1.8154999999999999"/>
    <n v="229719.53"/>
    <s v="https://www.youtube.com/shorts/ZPTw61AUyP4"/>
    <n v="40"/>
  </r>
  <r>
    <s v="n7dHNDo7oHk"/>
    <s v="EL PRIMO DE OREN SPRUNKI FAMILIA FIGURAS INCREDIBOX #Shorts"/>
    <x v="487"/>
    <n v="15215258"/>
    <n v="138000"/>
    <n v="205"/>
    <n v="371"/>
    <n v="0.9083"/>
    <n v="41011.480000000003"/>
    <s v="https://www.youtube.com/shorts/n7dHNDo7oHk"/>
    <n v="75"/>
  </r>
  <r>
    <s v="pfltKY0kwcM"/>
    <s v="JANEIRO, FEVEREIROâ€¦ ðŸ¥°â¤ï¸ðŸ™ðŸ¥³ #shorts"/>
    <x v="488"/>
    <n v="67795388"/>
    <n v="1200000"/>
    <n v="0"/>
    <n v="1550"/>
    <n v="1.77"/>
    <n v="43738.96"/>
    <s v="https://www.youtube.com/shorts/pfltKY0kwcM"/>
    <n v="0"/>
  </r>
  <r>
    <s v="tgsVh1eYPAU"/>
    <s v="ADIVINHE O DESENHO NAS COSTAS! #shorts"/>
    <x v="414"/>
    <n v="7320456"/>
    <n v="137000"/>
    <n v="547"/>
    <n v="13"/>
    <n v="1.8789"/>
    <n v="563112"/>
    <s v="https://www.youtube.com/shorts/tgsVh1eYPAU"/>
    <n v="0"/>
  </r>
  <r>
    <s v="sEfJJa70EYY"/>
    <s v="No Excuse on Holi ðŸ˜ #shorts #funny #holi"/>
    <x v="489"/>
    <n v="28196646"/>
    <n v="291000"/>
    <n v="501"/>
    <n v="17"/>
    <n v="1.0338000000000001"/>
    <n v="1658626.24"/>
    <s v="https://www.youtube.com/shorts/sEfJJa70EYY"/>
    <n v="79"/>
  </r>
  <r>
    <s v="pJ-vKqjyaJw"/>
    <s v="Esses Cabelos Ficaram Perfeitos #shorts"/>
    <x v="490"/>
    <n v="461842"/>
    <n v="18000"/>
    <n v="156"/>
    <n v="6"/>
    <n v="3.9312"/>
    <n v="76973.67"/>
    <s v="https://www.youtube.com/shorts/pJ-vKqjyaJw"/>
    <n v="1084"/>
  </r>
  <r>
    <s v="NX_3wBrG8q0"/>
    <s v="duo is back â¤ï¸#shorts #sister #brother"/>
    <x v="70"/>
    <n v="1082739"/>
    <n v="19000"/>
    <n v="587"/>
    <n v="13"/>
    <n v="1.8089999999999999"/>
    <n v="83287.62"/>
    <s v="https://www.youtube.com/shorts/NX_3wBrG8q0"/>
    <n v="0"/>
  </r>
  <r>
    <s v="ahv2L6ODPVg"/>
    <s v="Trending Ice Cream Of Dubai ðŸ˜³ #neetubisht #minivlog #lakhneet #youtubeshorts #trending #shorts"/>
    <x v="491"/>
    <n v="54642458"/>
    <n v="905000"/>
    <n v="2941"/>
    <n v="246"/>
    <n v="1.6616"/>
    <n v="222123.81"/>
    <s v="https://www.youtube.com/shorts/ahv2L6ODPVg"/>
    <n v="39"/>
  </r>
  <r>
    <s v="Hj0gBogjNsg"/>
    <s v="The last one was unexpected #jonathanjoly #shorts ï¿¼"/>
    <x v="26"/>
    <n v="1472881"/>
    <n v="8100"/>
    <n v="249"/>
    <n v="8"/>
    <n v="0.56679999999999997"/>
    <n v="184110.12"/>
    <s v="https://www.youtube.com/shorts/Hj0gBogjNsg"/>
    <n v="0"/>
  </r>
  <r>
    <s v="lLjy7GTf7LE"/>
    <s v="When your crush is in Another section ðŸ« #shorts #sejalgabashorts #ytshorts #school"/>
    <x v="40"/>
    <n v="41086310"/>
    <n v="649000"/>
    <n v="1241"/>
    <n v="25"/>
    <n v="1.5826"/>
    <n v="1643452.4"/>
    <s v="https://www.youtube.com/shorts/lLjy7GTf7LE"/>
    <n v="39"/>
  </r>
  <r>
    <s v="rWJc34VR4Y4"/>
    <s v="Respect girl ðŸ¥¹ðŸ’”ðŸ™ #shorts #viralshorts  #shortsfeed #tranding #respect #girl #youtubeshorts #yt"/>
    <x v="492"/>
    <n v="41899666"/>
    <n v="668000"/>
    <n v="1964"/>
    <n v="154"/>
    <n v="1.599"/>
    <n v="272075.75"/>
    <s v="https://www.youtube.com/shorts/rWJc34VR4Y4"/>
    <n v="94"/>
  </r>
  <r>
    <s v="bi3z3B-27b4"/>
    <s v="er hat es gefÃ¼hlt: #short #shorts #couplegoals #funny #foryou"/>
    <x v="493"/>
    <n v="712455"/>
    <n v="17000"/>
    <n v="77"/>
    <n v="19"/>
    <n v="2.3969"/>
    <n v="37497.629999999997"/>
    <s v="https://www.youtube.com/shorts/bi3z3B-27b4"/>
    <n v="61"/>
  </r>
  <r>
    <s v="87be3nwI7FI"/>
    <s v="Tipica scena nei film americani - Kiro Ebra #comedy #shorts"/>
    <x v="494"/>
    <n v="3240561"/>
    <n v="110000"/>
    <n v="469"/>
    <n v="519"/>
    <n v="3.4089"/>
    <n v="6243.86"/>
    <s v="https://www.youtube.com/shorts/87be3nwI7FI"/>
    <n v="366"/>
  </r>
  <r>
    <s v="hevZMEQmCOk"/>
    <s v="LAS COSAS DE PAPA ðŸ« ! #humor #comedia #risas #shorts #funny #shortsviral"/>
    <x v="495"/>
    <n v="3835699"/>
    <n v="16000"/>
    <n v="40"/>
    <n v="18"/>
    <n v="0.41820000000000002"/>
    <n v="213094.39"/>
    <s v="https://www.youtube.com/shorts/hevZMEQmCOk"/>
    <n v="0"/>
  </r>
  <r>
    <s v="fIMmGW6E-84"/>
    <s v="Â¡Â¡IMITANDO A KAROL G!! #shorts #short #rutina"/>
    <x v="496"/>
    <n v="10864120"/>
    <n v="423000"/>
    <n v="3706"/>
    <n v="547"/>
    <n v="3.9277000000000002"/>
    <n v="19861.28"/>
    <s v="https://www.youtube.com/shorts/fIMmGW6E-84"/>
    <n v="164"/>
  </r>
  <r>
    <s v="1RTQ00iqtV0"/>
    <s v="Teachers before holi ðŸ‘©â€ðŸ«ðŸ«Ÿ #shorts #sejalgabashorts #teacher #holi"/>
    <x v="40"/>
    <n v="9708715"/>
    <n v="195000"/>
    <n v="1272"/>
    <n v="19"/>
    <n v="2.0215999999999998"/>
    <n v="510985"/>
    <s v="https://www.youtube.com/shorts/1RTQ00iqtV0"/>
    <n v="32"/>
  </r>
  <r>
    <s v="uzRTdESMfYU"/>
    <s v="Kya apke saath aisa kuch hua kya #Shorts #funny #comedy"/>
    <x v="277"/>
    <n v="21615136"/>
    <n v="174000"/>
    <n v="214"/>
    <n v="21"/>
    <n v="0.80600000000000005"/>
    <n v="1029292.19"/>
    <s v="https://www.youtube.com/shorts/uzRTdESMfYU"/>
    <n v="0"/>
  </r>
  <r>
    <s v="BQsSIVbsKho"/>
    <s v="hooyo macaan #shorts #vlog #xogmaal #ramadan #musalsal #comedy #bollywood #videos"/>
    <x v="497"/>
    <n v="2422154"/>
    <n v="40000"/>
    <n v="1399"/>
    <n v="720"/>
    <n v="1.7092000000000001"/>
    <n v="3364.1"/>
    <s v="https://www.youtube.com/shorts/BQsSIVbsKho"/>
    <n v="0"/>
  </r>
  <r>
    <s v="Tvw-I5EmrsQ"/>
    <s v="Wait for the 3rd oneðŸ˜± #shorts"/>
    <x v="39"/>
    <n v="919102"/>
    <n v="17000"/>
    <n v="172"/>
    <n v="16"/>
    <n v="1.8683000000000001"/>
    <n v="57443.88"/>
    <s v="https://www.youtube.com/shorts/Tvw-I5EmrsQ"/>
    <n v="521"/>
  </r>
  <r>
    <s v="vHgUGeQtyzM"/>
    <s v="UNLIMITED SHOPPING At American Girl...ðŸ™ˆ #shorts #familyvlog #fatherdaughter #shopping"/>
    <x v="275"/>
    <n v="2206602"/>
    <n v="40000"/>
    <n v="404"/>
    <n v="9"/>
    <n v="1.8310999999999999"/>
    <n v="245178"/>
    <s v="https://www.youtube.com/shorts/vHgUGeQtyzM"/>
    <n v="885"/>
  </r>
  <r>
    <s v="ifWG8euXCi4"/>
    <s v="Painting white bag #diy #craft #painting #bag #flowers #colourful #shorts"/>
    <x v="498"/>
    <n v="861604"/>
    <n v="20000"/>
    <n v="777"/>
    <n v="4"/>
    <n v="2.4114"/>
    <n v="215401"/>
    <s v="https://www.youtube.com/shorts/ifWG8euXCi4"/>
    <n v="0"/>
  </r>
  <r>
    <s v="RhY7u3lAWQQ"/>
    <s v="Instant Onion Chutney ASMR #shorts #asmr #asmreating #asmrsounds #food #cooking #recipe #viral"/>
    <x v="499"/>
    <n v="684043"/>
    <n v="4800"/>
    <n v="8"/>
    <n v="6"/>
    <n v="0.70289999999999997"/>
    <n v="114007.17"/>
    <s v="https://www.youtube.com/shorts/RhY7u3lAWQQ"/>
    <n v="273"/>
  </r>
  <r>
    <s v="RJFt15j99dY"/>
    <s v="Funny Bee Movie Edit #shorts"/>
    <x v="500"/>
    <n v="3067529"/>
    <n v="26000"/>
    <n v="410"/>
    <n v="994"/>
    <n v="0.86099999999999999"/>
    <n v="3086.05"/>
    <s v="https://www.youtube.com/shorts/RJFt15j99dY"/>
    <n v="0"/>
  </r>
  <r>
    <s v="0nIyymuoiOc"/>
    <s v="CHISTES GRACIOSOS QUE ME MANDARON!!! #shorts"/>
    <x v="501"/>
    <n v="3057784"/>
    <n v="86000"/>
    <n v="1741"/>
    <n v="28"/>
    <n v="2.8694000000000002"/>
    <n v="109206.57"/>
    <s v="https://www.youtube.com/shorts/0nIyymuoiOc"/>
    <n v="370"/>
  </r>
  <r>
    <s v="W2HMworfBGg"/>
    <s v="When you are short heighted girl ðŸ‘§ðŸ¼ #shorts #ytshorts #sejalgabashorts"/>
    <x v="40"/>
    <n v="32923915"/>
    <n v="559000"/>
    <n v="1509"/>
    <n v="223"/>
    <n v="1.7023999999999999"/>
    <n v="147640.87"/>
    <s v="https://www.youtube.com/shorts/W2HMworfBGg"/>
    <n v="35"/>
  </r>
  <r>
    <s v="uUqhu2ZhiIk"/>
    <s v="Chicken ðŸ” 4 #comedy #trending #viral #girl #shorts"/>
    <x v="502"/>
    <n v="6852368"/>
    <n v="213000"/>
    <n v="144"/>
    <n v="151"/>
    <n v="3.1105"/>
    <n v="45379.92"/>
    <s v="https://www.youtube.com/shorts/uUqhu2ZhiIk"/>
    <n v="0"/>
  </r>
  <r>
    <s v="SG-HQwWIdzw"/>
    <s v="E series name guess Cheyandi??..#achyuthasaddikuti #trending #shorts"/>
    <x v="503"/>
    <n v="298371"/>
    <n v="5100"/>
    <n v="55"/>
    <n v="17"/>
    <n v="1.7277"/>
    <n v="17551.240000000002"/>
    <s v="https://www.youtube.com/shorts/SG-HQwWIdzw"/>
    <n v="0"/>
  </r>
  <r>
    <s v="hNT4pnRewVI"/>
    <s v="smooth movementðŸ”¥ #amazing #sports #respect #smooth #believe #shorts #tiktok #ytshorts #tiktok"/>
    <x v="504"/>
    <n v="1834117"/>
    <n v="19000"/>
    <n v="197"/>
    <n v="52"/>
    <n v="1.0467"/>
    <n v="35271.480000000003"/>
    <s v="https://www.youtube.com/shorts/hNT4pnRewVI"/>
    <n v="0"/>
  </r>
  <r>
    <s v="SjEeY1sVC9Y"/>
    <s v="âš ï¸MAAF PARA BUAYA DARAT AKU CUMAN BERCANDAðŸ˜­ðŸ™ðŸŠ #shorts #itsmeissie"/>
    <x v="505"/>
    <n v="4877517"/>
    <n v="56000"/>
    <n v="871"/>
    <n v="4"/>
    <n v="1.1659999999999999"/>
    <n v="1219379.25"/>
    <s v="https://www.youtube.com/shorts/SjEeY1sVC9Y"/>
    <n v="0"/>
  </r>
  <r>
    <s v="Qs_7w2OoblU"/>
    <s v="How I Cut a Cheese EQUALLY.. ðŸ§€ðŸ˜­ #relatablestories #comedy #funnymemes"/>
    <x v="9"/>
    <n v="4409967"/>
    <n v="83000"/>
    <n v="2148"/>
    <n v="1"/>
    <n v="1.9308000000000001"/>
    <n v="4409967"/>
    <s v="https://www.youtube.com/shorts/Qs_7w2OoblU"/>
    <n v="221"/>
  </r>
  <r>
    <s v="BoiSnfamFR4"/>
    <s v="MI RUTINA DE LA NOCHE siendo COQUETTE  #shorts  #shortsvideo"/>
    <x v="496"/>
    <n v="23183633"/>
    <n v="977000"/>
    <n v="6964"/>
    <n v="700"/>
    <n v="4.2442000000000002"/>
    <n v="33119.480000000003"/>
    <s v="https://www.youtube.com/shorts/BoiSnfamFR4"/>
    <n v="125"/>
  </r>
  <r>
    <s v="Y8GtreRUsEM"/>
    <s v="Quando sei di questo umore ogni giorno ðŸ˜‚ #shorts #short"/>
    <x v="443"/>
    <n v="11993883"/>
    <n v="242000"/>
    <n v="0"/>
    <n v="794"/>
    <n v="2.0177"/>
    <n v="15105.65"/>
    <s v="https://www.youtube.com/shorts/Y8GtreRUsEM"/>
    <n v="0"/>
  </r>
  <r>
    <s v="uQ3DeDuE7qI"/>
    <s v="Amaira ko chachu  k sath jana h #shorts #FestiveWithShorts"/>
    <x v="506"/>
    <n v="59130244"/>
    <n v="340000"/>
    <n v="294"/>
    <n v="152"/>
    <n v="0.57550000000000001"/>
    <n v="389014.76"/>
    <s v="https://www.youtube.com/shorts/uQ3DeDuE7qI"/>
    <n v="0"/>
  </r>
  <r>
    <s v="axhJqvaI3Hs"/>
    <s v="HE DREAMS ABOUT OTHER GIRLS?!ðŸ˜¨ #shorts"/>
    <x v="39"/>
    <n v="1444980"/>
    <n v="34000"/>
    <n v="423"/>
    <n v="13"/>
    <n v="2.3822000000000001"/>
    <n v="111152.31"/>
    <s v="https://www.youtube.com/shorts/axhJqvaI3Hs"/>
    <n v="521"/>
  </r>
  <r>
    <s v="5164neq_q5Q"/>
    <s v="BOCIL REBUTAN CUTTON CANDY MINI BENTUK BUAH ðŸ¬â€¼ï¸ #shorts #permenunik #ngeshortsdulu"/>
    <x v="507"/>
    <n v="14991335"/>
    <n v="156000"/>
    <n v="60"/>
    <n v="693"/>
    <n v="1.0409999999999999"/>
    <n v="21632.52"/>
    <s v="https://www.youtube.com/shorts/5164neq_q5Q"/>
    <n v="0"/>
  </r>
  <r>
    <s v="Z8QOH8a5_7M"/>
    <s v="PAPA BAIK BAGI PERMEN GUMMY VIRAL KARAKTER ðŸ¦† Mami Jadi Bebek #shorts #permenviral"/>
    <x v="507"/>
    <n v="176193356"/>
    <n v="1700000"/>
    <n v="1242"/>
    <n v="1090"/>
    <n v="0.96560000000000001"/>
    <n v="161645.28"/>
    <s v="https://www.youtube.com/shorts/Z8QOH8a5_7M"/>
    <n v="0"/>
  </r>
  <r>
    <s v="sSepfueNZ3g"/>
    <s v="Tag that nibbiðŸ˜‚ #funny #shorts #relatable #youtubeshorts"/>
    <x v="287"/>
    <n v="1154258"/>
    <n v="25000"/>
    <n v="177"/>
    <n v="6"/>
    <n v="2.1812"/>
    <n v="192376.33"/>
    <s v="https://www.youtube.com/shorts/sSepfueNZ3g"/>
    <n v="0"/>
  </r>
  <r>
    <s v="xnSQED2JNeA"/>
    <s v="Leftover roti snacks #shorts #snacks #recipe #leftoverroti #trending #viral #shortsfeed #cooking"/>
    <x v="508"/>
    <n v="3586988"/>
    <n v="0"/>
    <n v="62"/>
    <n v="5"/>
    <n v="1.6999999999999999E-3"/>
    <n v="717397.6"/>
    <s v="https://www.youtube.com/shorts/xnSQED2JNeA"/>
    <n v="381"/>
  </r>
  <r>
    <s v="uWLnPzN35Mc"/>
    <s v="Tapa no banheiro ðŸ˜±ðŸ˜± #shorts #memes"/>
    <x v="509"/>
    <n v="1137505"/>
    <n v="7300"/>
    <n v="47"/>
    <n v="14"/>
    <n v="0.64590000000000003"/>
    <n v="81250.36"/>
    <s v="https://www.youtube.com/shorts/uWLnPzN35Mc"/>
    <n v="43"/>
  </r>
  <r>
    <s v="z7ISJlcrWq4"/>
    <s v="Girl's Vs Boy's Class Leader's ðŸ˜ #comedy #comedyvideo #shorts #youtubeshorts #funny #funnyvideo"/>
    <x v="510"/>
    <n v="1453028"/>
    <n v="0"/>
    <n v="61"/>
    <n v="5"/>
    <n v="4.1999999999999997E-3"/>
    <n v="290605.59999999998"/>
    <s v="https://www.youtube.com/shorts/z7ISJlcrWq4"/>
    <n v="0"/>
  </r>
  <r>
    <s v="PLHShu1grgs"/>
    <s v="Le mamme al mare - Kiro Ebra #shorts #comedy #mamme #mare"/>
    <x v="494"/>
    <n v="4422352"/>
    <n v="54000"/>
    <n v="246"/>
    <n v="202"/>
    <n v="1.2265999999999999"/>
    <n v="21892.83"/>
    <s v="https://www.youtube.com/shorts/PLHShu1grgs"/>
    <n v="342"/>
  </r>
  <r>
    <s v="LgoPD6gFQYQ"/>
    <s v="à®šà®ªà®¾..!à®‡à®ªà¯à®ªà®µà¯‡ à®•à®£à¯à®£  à®•à®Ÿà¯à®Ÿà¯à®¤à¯‡ðŸ¤£ðŸ˜‚ #shorts #fun #comedy"/>
    <x v="152"/>
    <n v="1142430"/>
    <n v="18000"/>
    <n v="76"/>
    <n v="18"/>
    <n v="1.5822000000000001"/>
    <n v="63468.33"/>
    <s v="https://www.youtube.com/shorts/LgoPD6gFQYQ"/>
    <n v="1076"/>
  </r>
  <r>
    <s v="JtfNdOIzxRI"/>
    <s v="99 Nights in the Forest Matchâ­ï¸ #roblox #99nightsintheforest #99nights #shorts #fyp #99nights"/>
    <x v="511"/>
    <n v="2727087"/>
    <n v="64000"/>
    <n v="64"/>
    <n v="14"/>
    <n v="2.3492000000000002"/>
    <n v="194791.93"/>
    <s v="https://www.youtube.com/shorts/JtfNdOIzxRI"/>
    <n v="38"/>
  </r>
  <r>
    <s v="MNVszCYwMHQ"/>
    <s v="VÃ­ctimas en Halloween &quot;El peso&quot; ðŸ¥©ðŸ´ | Episodio 1 |  Ivanova BM | #shorts #ivanova_bm"/>
    <x v="512"/>
    <n v="18396900"/>
    <n v="485000"/>
    <n v="1035"/>
    <n v="510"/>
    <n v="2.6419000000000001"/>
    <n v="36072.35"/>
    <s v="https://www.youtube.com/shorts/MNVszCYwMHQ"/>
    <n v="0"/>
  </r>
  <r>
    <s v="X73rMlgQbiQ"/>
    <s v="Cute girl very funny ðŸ¤£ ðŸ¤—ðŸ¤ªðŸ˜¹ #shorts #funnyvideo #trending"/>
    <x v="80"/>
    <n v="3189772"/>
    <n v="0"/>
    <n v="0"/>
    <n v="9"/>
    <n v="0"/>
    <n v="354419.11"/>
    <s v="https://www.youtube.com/shorts/X73rMlgQbiQ"/>
    <n v="56"/>
  </r>
  <r>
    <s v="WE9G0HGMvnw"/>
    <s v="Which Girl Will He Pick? ðŸ‘€â™¥ï¸ #Shorts #Relationship #Trending"/>
    <x v="338"/>
    <n v="10330931"/>
    <n v="165000"/>
    <n v="2288"/>
    <n v="190"/>
    <n v="1.6193"/>
    <n v="54373.32"/>
    <s v="https://www.youtube.com/shorts/WE9G0HGMvnw"/>
    <n v="0"/>
  </r>
  <r>
    <s v="F0R3s900I2k"/>
    <s v="Amazing Videography ideas with mobile ðŸ˜±ðŸ‘€ #shorts  #videography #ideas"/>
    <x v="250"/>
    <n v="74890240"/>
    <n v="440000"/>
    <n v="754"/>
    <n v="444"/>
    <n v="0.58850000000000002"/>
    <n v="168671.71"/>
    <s v="https://www.youtube.com/shorts/F0R3s900I2k"/>
    <n v="0"/>
  </r>
  <r>
    <s v="ZvptCPrknP8"/>
    <s v="Send this to your friends and see who gets scared ðŸ¤ª #shorts"/>
    <x v="513"/>
    <n v="529904691"/>
    <n v="6100000"/>
    <n v="45071"/>
    <n v="1744"/>
    <n v="1.1597"/>
    <n v="303844.43"/>
    <s v="https://www.youtube.com/shorts/ZvptCPrknP8"/>
    <n v="224"/>
  </r>
  <r>
    <s v="RRiLEFV75II"/>
    <s v="Magical BaloonðŸ’•ðŸ¦„ðŸŽŠðŸ‡®ðŸ‡³ #shortvideo #short #shorts #trend"/>
    <x v="360"/>
    <n v="1362020"/>
    <n v="0"/>
    <n v="61"/>
    <n v="5"/>
    <n v="4.4999999999999997E-3"/>
    <n v="272404"/>
    <s v="https://www.youtube.com/shorts/RRiLEFV75II"/>
    <n v="0"/>
  </r>
  <r>
    <s v="BF7wwXZ6MMU"/>
    <s v="Roommate's Gift Takes a Dark and Deadly Turn | Pt 1_x000a_#shorts #anime #animeshorts #animeclips #animes"/>
    <x v="514"/>
    <n v="3945"/>
    <n v="127"/>
    <n v="4"/>
    <n v="1"/>
    <n v="3.3207"/>
    <n v="3945"/>
    <s v="https://www.youtube.com/watch?v=BF7wwXZ6MMU"/>
    <n v="56"/>
  </r>
  <r>
    <s v="ZqyJ1o5tq3Y"/>
    <s v="ICH BIN EIN PICKME GIRLðŸ˜± #cleangirl #aesthetic #explore #shorts #beauty #makeup #skincare"/>
    <x v="515"/>
    <n v="1693500"/>
    <n v="30000"/>
    <n v="253"/>
    <n v="4"/>
    <n v="1.7864"/>
    <n v="423375"/>
    <s v="https://www.youtube.com/shorts/ZqyJ1o5tq3Y"/>
    <n v="0"/>
  </r>
  <r>
    <s v="sGLEJu_9poQ"/>
    <s v="à®Žà®ªà¯à®ªà®Ÿà®¿ à®¨à®®à¯à®® à®à®Ÿà®¿à®¯à®¾ðŸ˜œðŸ¥° #shorts #happy #love | With Love Nagaraj Sangeetha"/>
    <x v="152"/>
    <n v="18011950"/>
    <n v="272000"/>
    <n v="295"/>
    <n v="188"/>
    <n v="1.5117"/>
    <n v="95808.24"/>
    <s v="https://www.youtube.com/shorts/sGLEJu_9poQ"/>
    <n v="438"/>
  </r>
  <r>
    <s v="T1C-8AgvstM"/>
    <s v="Blood Angels (FKA Thralls) | Full Movie | 2005 | Horror, Sexy Vampires | Lorenzo Lamas, Leah Cairns"/>
    <x v="516"/>
    <n v="6122442"/>
    <n v="10000"/>
    <n v="324"/>
    <n v="5829"/>
    <n v="0.1686"/>
    <n v="1050.3399999999999"/>
    <s v="https://www.youtube.com/watch?v=T1C-8AgvstM"/>
    <n v="753"/>
  </r>
  <r>
    <s v="SeutERxqs1Q"/>
    <s v="Sons vs Daughters when you hurt yourself at school ðŸ˜‚#shorts"/>
    <x v="517"/>
    <n v="1217481"/>
    <n v="16000"/>
    <n v="114"/>
    <n v="40"/>
    <n v="1.3236000000000001"/>
    <n v="30437.03"/>
    <s v="https://www.youtube.com/shorts/SeutERxqs1Q"/>
    <n v="30"/>
  </r>
  <r>
    <s v="32et6wN1YVA"/>
    <s v="Girls vs Boys ðŸ˜‚ while doing face wash #comedy #comedyvideo #shorts #youtubeshorts #funny #funnyvideo"/>
    <x v="473"/>
    <n v="13627733"/>
    <n v="98000"/>
    <n v="224"/>
    <n v="464"/>
    <n v="0.7208"/>
    <n v="29370.11"/>
    <s v="https://www.youtube.com/shorts/32et6wN1YVA"/>
    <n v="0"/>
  </r>
  <r>
    <s v="OopOg8PNFto"/>
    <s v="#siraisuccessmeet #anishma #anandathambirajah #vikramprabhu #lkakshaykumar bonding! #shorts #viral"/>
    <x v="518"/>
    <n v="589988"/>
    <n v="8600"/>
    <n v="4"/>
    <n v="3"/>
    <n v="1.4582999999999999"/>
    <n v="196662.67"/>
    <s v="https://www.youtube.com/shorts/OopOg8PNFto"/>
    <n v="175"/>
  </r>
  <r>
    <s v="gFpBSODwgcw"/>
    <s v="Wait for the twist ðŸ˜‚ #comedy #comedyvideo #shorts #youtubeshorts #funny #funnyvideo"/>
    <x v="473"/>
    <n v="4691885"/>
    <n v="52000"/>
    <n v="111"/>
    <n v="6"/>
    <n v="1.1107"/>
    <n v="781980.83"/>
    <s v="https://www.youtube.com/shorts/gFpBSODwgcw"/>
    <n v="0"/>
  </r>
  <r>
    <s v="ZCjAGbLYAwA"/>
    <s v="Welcher FrÃ¼hlingstyp bist du?! #shorts"/>
    <x v="474"/>
    <n v="913284"/>
    <n v="19000"/>
    <n v="180"/>
    <n v="10"/>
    <n v="2.1000999999999999"/>
    <n v="91328.4"/>
    <s v="https://www.youtube.com/shorts/ZCjAGbLYAwA"/>
    <n v="0"/>
  </r>
  <r>
    <s v="_3GCy9DxB0c"/>
    <s v="Wife &amp; Mummy ðŸ˜‚ #viral #comedy #family #minivlog #shortvideo #shorts #funny"/>
    <x v="519"/>
    <n v="3703225"/>
    <n v="61000"/>
    <n v="183"/>
    <n v="9"/>
    <n v="1.6521999999999999"/>
    <n v="411469.44"/>
    <s v="https://www.youtube.com/shorts/_3GCy9DxB0c"/>
    <n v="0"/>
  </r>
  <r>
    <s v="GO62K5-9oGs"/>
    <s v="Wie findet ihr den neuen Teppich?ðŸ˜‚ #zocken #lustig #eheleben #beziehung #shorts"/>
    <x v="520"/>
    <n v="3566879"/>
    <n v="63000"/>
    <n v="445"/>
    <n v="7"/>
    <n v="1.7786999999999999"/>
    <n v="509554.14"/>
    <s v="https://www.youtube.com/shorts/GO62K5-9oGs"/>
    <n v="0"/>
  </r>
  <r>
    <s v="KLudTIbwfhs"/>
    <s v="MamÃ¡ la Dra de la casa ðŸ’•ðŸ™ˆ  #shorts #humor #tiktokvideo #comedia #funny #fyp"/>
    <x v="260"/>
    <n v="20042688"/>
    <n v="325000"/>
    <n v="2410"/>
    <n v="21"/>
    <n v="1.6335999999999999"/>
    <n v="954413.71"/>
    <s v="https://www.youtube.com/shorts/KLudTIbwfhs"/>
    <n v="0"/>
  </r>
  <r>
    <s v="JT9_eJ9cg4g"/>
    <s v="Tortino di zucchine cremosissimo ðŸ’š #shorts"/>
    <x v="521"/>
    <n v="124982"/>
    <n v="2700"/>
    <n v="35"/>
    <n v="7"/>
    <n v="2.1882999999999999"/>
    <n v="17854.57"/>
    <s v="https://www.youtube.com/shorts/JT9_eJ9cg4g"/>
    <n v="1145"/>
  </r>
  <r>
    <s v="M-dv7HQq-TI"/>
    <s v="Was war in diesem Geschenk drin? ðŸ’€ #shorts"/>
    <x v="471"/>
    <n v="257118"/>
    <n v="0"/>
    <n v="7"/>
    <n v="5"/>
    <n v="2.7000000000000001E-3"/>
    <n v="51423.6"/>
    <s v="https://www.youtube.com/shorts/M-dv7HQq-TI"/>
    <n v="0"/>
  </r>
  <r>
    <s v="bRPQONIXNUg"/>
    <s v="Mansi ka dant ðŸ¦· Tut Gaya #shorts #youtubeshorts #maa"/>
    <x v="465"/>
    <n v="984755"/>
    <n v="8400"/>
    <n v="14"/>
    <n v="5"/>
    <n v="0.85440000000000005"/>
    <n v="196951"/>
    <s v="https://www.youtube.com/shorts/bRPQONIXNUg"/>
    <n v="221"/>
  </r>
  <r>
    <s v="0KSchz85iAE"/>
    <s v="Quando hai un fratello troppo protettivo ðŸ˜“ðŸ˜‚ #shorts #short"/>
    <x v="443"/>
    <n v="5208327"/>
    <n v="193000"/>
    <n v="792"/>
    <n v="970"/>
    <n v="3.7208000000000001"/>
    <n v="5369.41"/>
    <s v="https://www.youtube.com/shorts/0KSchz85iAE"/>
    <n v="0"/>
  </r>
  <r>
    <s v="frhwo1R9ceo"/>
    <s v="My Strong IdliðŸ¤£ðŸ¤£ #maithilisreetan #comedy #funny #shorts #ytshorts #viral"/>
    <x v="421"/>
    <n v="2207748"/>
    <n v="25000"/>
    <n v="23"/>
    <n v="7"/>
    <n v="1.1334"/>
    <n v="315392.57"/>
    <s v="https://www.youtube.com/shorts/frhwo1R9ceo"/>
    <n v="0"/>
  </r>
  <r>
    <s v="FP0dWzllrCQ"/>
    <s v="à®‡à®µà®©à¯ à®¤à®¾à®©à¯ à®…à®¨à¯à®¤ à®…à®°à®•à¯à®•à®©à¯..!  #shorts #vilathikulam #harassmentcase"/>
    <x v="522"/>
    <n v="45933"/>
    <n v="757"/>
    <n v="10"/>
    <n v="1"/>
    <n v="1.6698"/>
    <n v="45933"/>
    <s v="https://www.youtube.com/shorts/FP0dWzllrCQ"/>
    <n v="2439"/>
  </r>
  <r>
    <s v="QVclecyzfgs"/>
    <s v="That one Chappal Chor in the houseðŸ¥°ðŸ©´ | Raj Grover | #shorts"/>
    <x v="139"/>
    <n v="7782711"/>
    <n v="240000"/>
    <n v="1275"/>
    <n v="8"/>
    <n v="3.1000999999999999"/>
    <n v="972838.88"/>
    <s v="https://www.youtube.com/shorts/QVclecyzfgs"/>
    <n v="0"/>
  </r>
  <r>
    <s v="nNYWd_2DL7A"/>
    <s v="Ela transformou mel barato em lembrancinhas de luxo ðŸ˜³ðŸ¯ #shorts"/>
    <x v="523"/>
    <n v="319124"/>
    <n v="5000"/>
    <n v="22"/>
    <n v="7"/>
    <n v="1.5737000000000001"/>
    <n v="45589.14"/>
    <s v="https://www.youtube.com/shorts/nNYWd_2DL7A"/>
    <n v="0"/>
  </r>
  <r>
    <s v="N60r0A4mrxA"/>
    <s v="Students in exam time ðŸ‘§ðŸ¼ðŸ“ #shorts #sejalgabashorts #ytshorts #schol"/>
    <x v="40"/>
    <n v="5452973"/>
    <n v="144000"/>
    <n v="1873"/>
    <n v="7"/>
    <n v="2.6751"/>
    <n v="778996.14"/>
    <s v="https://www.youtube.com/shorts/N60r0A4mrxA"/>
    <n v="25"/>
  </r>
  <r>
    <s v="fHJ8CG7eRs8"/>
    <s v="Every class monitor ever ðŸ«ðŸ‘§ðŸ¼ #shorts #sejalgabashorts #school"/>
    <x v="40"/>
    <n v="20360725"/>
    <n v="329000"/>
    <n v="1019"/>
    <n v="23"/>
    <n v="1.6209"/>
    <n v="885248.91"/>
    <s v="https://www.youtube.com/shorts/fHJ8CG7eRs8"/>
    <n v="28"/>
  </r>
  <r>
    <s v="xRtevvc3oiQ"/>
    <s v="Girls Will be Girls ðŸ‘§ðŸ˜‚ #shorts #teratrigun #girls"/>
    <x v="401"/>
    <n v="15799588"/>
    <n v="223000"/>
    <n v="759"/>
    <n v="22"/>
    <n v="1.4161999999999999"/>
    <n v="718163.09"/>
    <s v="https://www.youtube.com/shorts/xRtevvc3oiQ"/>
    <n v="49"/>
  </r>
  <r>
    <s v="vEgAXMOjFQI"/>
    <s v="You Can Find Your Dadâ€™s K!ller #funnyshorts #ytshorts #shorts"/>
    <x v="524"/>
    <n v="702972"/>
    <n v="33000"/>
    <n v="215"/>
    <n v="10"/>
    <n v="4.7248999999999999"/>
    <n v="70297.2"/>
    <s v="https://www.youtube.com/shorts/vEgAXMOjFQI"/>
    <n v="0"/>
  </r>
  <r>
    <s v="ZMnqxHAdxss"/>
    <s v="#SHORTS | MAMAH RERE JAJAN PERMEN BEBEK ðŸ¤£ðŸ¤£"/>
    <x v="525"/>
    <n v="18549138"/>
    <n v="174000"/>
    <n v="57"/>
    <n v="831"/>
    <n v="0.93840000000000001"/>
    <n v="22321.47"/>
    <s v="https://www.youtube.com/shorts/ZMnqxHAdxss"/>
    <n v="26"/>
  </r>
  <r>
    <s v="o_KwPKuluWo"/>
    <s v="à®…à®Ÿà®ªà¯à®ªà®¾à®µà®¿ ðŸ˜³ Watermelon share à®ªà®£à¯à®£ à®šà¯Šà®©à¯à®©à®¾ à®¨à®Ÿà®¨à¯à®¤ comedy scene! #shorts #tamil #comedy"/>
    <x v="323"/>
    <n v="592509"/>
    <n v="6200"/>
    <n v="18"/>
    <n v="6"/>
    <n v="1.0494000000000001"/>
    <n v="98751.5"/>
    <s v="https://www.youtube.com/shorts/o_KwPKuluWo"/>
    <n v="730"/>
  </r>
  <r>
    <s v="lixk0_MXj_U"/>
    <s v="A TANAJURA ðŸ‘ #shorts"/>
    <x v="526"/>
    <n v="13068189"/>
    <n v="177000"/>
    <n v="2812"/>
    <n v="1542"/>
    <n v="1.3759999999999999"/>
    <n v="8474.83"/>
    <s v="https://www.youtube.com/shorts/lixk0_MXj_U"/>
    <n v="222"/>
  </r>
  <r>
    <s v="EKdvYBOU7Sk"/>
    <s v="Pvt School vs Govt. School ðŸ˜‚ðŸ« #shorts #ytshorts #teratrigun #comedy #funny #viral"/>
    <x v="401"/>
    <n v="7972382"/>
    <n v="166000"/>
    <n v="621"/>
    <n v="7"/>
    <n v="2.09"/>
    <n v="1138911.71"/>
    <s v="https://www.youtube.com/shorts/EKdvYBOU7Sk"/>
    <n v="81"/>
  </r>
  <r>
    <s v="j7C2Gs-zTWw"/>
    <s v="Different Types Of Scale #velujazz #shorts #school"/>
    <x v="145"/>
    <n v="606451"/>
    <n v="10000"/>
    <n v="19"/>
    <n v="8"/>
    <n v="1.6520999999999999"/>
    <n v="75806.38"/>
    <s v="https://www.youtube.com/shorts/j7C2Gs-zTWw"/>
    <n v="111"/>
  </r>
  <r>
    <s v="RS7KWqFNe8w"/>
    <s v="Swimming pool mein pehli baar ðŸ˜… #Shorts #Viral #comedy"/>
    <x v="447"/>
    <n v="2278267"/>
    <n v="26000"/>
    <n v="54"/>
    <n v="9"/>
    <n v="1.1435999999999999"/>
    <n v="253140.78"/>
    <s v="https://www.youtube.com/shorts/RS7KWqFNe8w"/>
    <n v="0"/>
  </r>
  <r>
    <s v="Ge2kTkjvKEM"/>
    <s v="Â¿QuÃ© debemos hacer?ðŸ˜­ | Primeros Auxilios para niÃ±os #Pinkfong #Shorts #Seguridad"/>
    <x v="527"/>
    <n v="250657790"/>
    <n v="0"/>
    <n v="0"/>
    <n v="1578"/>
    <n v="0"/>
    <n v="158845.24"/>
    <s v="https://www.youtube.com/shorts/Ge2kTkjvKEM"/>
    <n v="1314"/>
  </r>
  <r>
    <s v="nZ1sVe_-hu8"/>
    <s v="SEMUA DIKASIH CROMBOLONI SAMA BUNDA DIJAH #shorts"/>
    <x v="528"/>
    <n v="27822780"/>
    <n v="293000"/>
    <n v="726"/>
    <n v="672"/>
    <n v="1.0557000000000001"/>
    <n v="41402.949999999997"/>
    <s v="https://www.youtube.com/shorts/nZ1sVe_-hu8"/>
    <n v="26"/>
  </r>
  <r>
    <s v="Cu4g8maLoRI"/>
    <s v="ANNA (à®…à®£à¯à®£à®¾) - à®¤à®¿à®™à¯à®•à®³à¯-à®šà®©à®¿, à®‡à®°à®µà¯ 8:30 à®®à®£à®¿à®•à¯à®•à¯ - Zee Tamil #shorts #youtubeshorts"/>
    <x v="529"/>
    <n v="530886"/>
    <n v="12000"/>
    <n v="5"/>
    <n v="907"/>
    <n v="2.2612999999999999"/>
    <n v="585.32000000000005"/>
    <s v="https://www.youtube.com/shorts/Cu4g8maLoRI"/>
    <n v="1022"/>
  </r>
  <r>
    <s v="6FN-VspNwzY"/>
    <s v="Peranbu (à®ªà¯‡à®°à®©à¯à®ªà¯) - Mon-Sat, 6.30 PM - Zee Tamil #shorts youtubeshorts"/>
    <x v="529"/>
    <n v="573119"/>
    <n v="26000"/>
    <n v="14"/>
    <n v="908"/>
    <n v="4.5389999999999997"/>
    <n v="631.19000000000005"/>
    <s v="https://www.youtube.com/shorts/6FN-VspNwzY"/>
    <n v="985"/>
  </r>
  <r>
    <s v="9A6TBQleJLw"/>
    <s v="When Your Girl Thinks You're Cheating #shorts"/>
    <x v="530"/>
    <n v="1541296"/>
    <n v="21000"/>
    <n v="252"/>
    <n v="7"/>
    <n v="1.3788"/>
    <n v="220185.14"/>
    <s v="https://www.youtube.com/shorts/9A6TBQleJLw"/>
    <n v="607"/>
  </r>
  <r>
    <s v="mKxofV7UbqI"/>
    <s v="Thik se kam karo ðŸ˜›ðŸ˜‚ Funny couple  #shorts #viral #comedy"/>
    <x v="531"/>
    <n v="21726986"/>
    <n v="43000"/>
    <n v="0"/>
    <n v="251"/>
    <n v="0.19789999999999999"/>
    <n v="86561.7"/>
    <s v="https://www.youtube.com/shorts/mKxofV7UbqI"/>
    <n v="35"/>
  </r>
  <r>
    <s v="eBlWJZnu3Jo"/>
    <s v="Meenakshi Ponnunga (à®®à¯€à®©à®¾à®Ÿà¯à®šà®¿ à®ªà¯Šà®£à¯à®£à¯à®™à¯à®•)- Mon-Sat, 9:30 PM - Zee Tamil #shorts youtubeshorts"/>
    <x v="529"/>
    <n v="39896"/>
    <n v="1800"/>
    <n v="2"/>
    <n v="908"/>
    <n v="4.5167000000000002"/>
    <n v="43.94"/>
    <s v="https://www.youtube.com/shorts/eBlWJZnu3Jo"/>
    <n v="1075"/>
  </r>
  <r>
    <s v="dF-mQLvDUmQ"/>
    <s v="Meenakshi Ponnunga (à®®à¯€à®©à®¾à®Ÿà¯à®šà®¿ à®ªà¯Šà®£à¯à®£à¯à®™à¯à®•)- Mon-Sat, 9:30 PM - Zee Tamil #shorts #youtubeshorts"/>
    <x v="529"/>
    <n v="45155"/>
    <n v="2100"/>
    <n v="1"/>
    <n v="908"/>
    <n v="4.6528999999999998"/>
    <n v="49.73"/>
    <s v="https://www.youtube.com/shorts/dF-mQLvDUmQ"/>
    <n v="1075"/>
  </r>
  <r>
    <s v="d_G0zpIPpJo"/>
    <s v="Brand New, Wonâ€™t Start!  #chickanic #shorts"/>
    <x v="532"/>
    <n v="1920416"/>
    <n v="46000"/>
    <n v="1286"/>
    <n v="17"/>
    <n v="2.4622999999999999"/>
    <n v="112965.65"/>
    <s v="https://www.youtube.com/shorts/d_G0zpIPpJo"/>
    <n v="37"/>
  </r>
  <r>
    <s v="nikDYzBzvQ4"/>
    <s v="Pink Chewing Gum for SimmiðŸ¥¶ðŸ¤£#shorts #comedy #funny #olidavines"/>
    <x v="283"/>
    <n v="6039263"/>
    <n v="49000"/>
    <n v="30"/>
    <n v="6"/>
    <n v="0.81189999999999996"/>
    <n v="1006543.83"/>
    <s v="https://www.youtube.com/shorts/nikDYzBzvQ4"/>
    <n v="298"/>
  </r>
  <r>
    <s v="oKe30soWy7g"/>
    <s v="Ansh Ban Gaya Principal ka Pota ðŸ˜‚ #shorts #funny #school #ansh #sraoster"/>
    <x v="533"/>
    <n v="9346140"/>
    <n v="0"/>
    <n v="226"/>
    <n v="8"/>
    <n v="2.3999999999999998E-3"/>
    <n v="1168267.5"/>
    <s v="https://www.youtube.com/shorts/oKe30soWy7g"/>
    <n v="0"/>
  </r>
  <r>
    <s v="az4To0y5DWM"/>
    <s v="Karthigai Deepam (à®•à®¾à®°à¯à®¤à¯à®¤à®¿à®•à¯ˆ à®¤à¯€à®ªà®®à¯) - Mon-Sat, 9:00PM - Zee Tamil #shorts #youtubeshorts"/>
    <x v="529"/>
    <n v="87854"/>
    <n v="2400"/>
    <n v="16"/>
    <n v="908"/>
    <n v="2.75"/>
    <n v="96.76"/>
    <s v="https://www.youtube.com/shorts/az4To0y5DWM"/>
    <n v="1005"/>
  </r>
  <r>
    <s v="wMWZ5RwCwrM"/>
    <s v="When husband wife are in same school ðŸ« #shorts #sejalgabashorts #school #teacher"/>
    <x v="40"/>
    <n v="6953481"/>
    <n v="185000"/>
    <n v="649"/>
    <n v="6"/>
    <n v="2.6699000000000002"/>
    <n v="1158913.5"/>
    <s v="https://www.youtube.com/shorts/wMWZ5RwCwrM"/>
    <n v="38"/>
  </r>
  <r>
    <s v="590Z7HmG7xs"/>
    <s v="Cutting &amp; cleaning Blush Stick Tutorial Pt1 #shorts #satisfying #DIY #lipstick #fyp #makeuprepair"/>
    <x v="534"/>
    <n v="23482"/>
    <n v="470"/>
    <n v="4"/>
    <n v="1"/>
    <n v="2.0186000000000002"/>
    <n v="23482"/>
    <s v="https://www.youtube.com/shorts/590Z7HmG7xs"/>
    <n v="273"/>
  </r>
  <r>
    <e v="#NAME?"/>
    <s v="Trik ngajarin anak ngomong huruf S. Praktekin langsung yaa.. #shorts #shortvideo #tipsparenting"/>
    <x v="535"/>
    <n v="69444343"/>
    <n v="418000"/>
    <n v="2254"/>
    <n v="277"/>
    <n v="0.60519999999999996"/>
    <n v="250701.6"/>
    <s v="https://www.youtube.com/shorts/-Dek1V1ulNw"/>
    <n v="0"/>
  </r>
  <r>
    <s v="fRaoA4NK4mI"/>
    <s v="Husband vs Wife /Hide &amp; Seek (Part2)#husbandwifefun #hideandseekfun #shorts #funny #familyfun"/>
    <x v="536"/>
    <n v="2612146"/>
    <n v="13000"/>
    <n v="41"/>
    <n v="9"/>
    <n v="0.49919999999999998"/>
    <n v="290238.44"/>
    <s v="https://www.youtube.com/shorts/fRaoA4NK4mI"/>
    <n v="0"/>
  </r>
  <r>
    <s v="_25ZiVISO0g"/>
    <s v="Me &amp; my daughter in Future ðŸ‘§ðŸ¼ #shorts #sejalgabashorts  #ytshorts"/>
    <x v="40"/>
    <n v="22136302"/>
    <n v="464000"/>
    <n v="1495"/>
    <n v="8"/>
    <n v="2.1029"/>
    <n v="2767037.75"/>
    <s v="https://www.youtube.com/shorts/_25ZiVISO0g"/>
    <n v="29"/>
  </r>
  <r>
    <s v="acvkiSoN7yQ"/>
    <s v="Un momento embarazoso, pero tambiÃ©n muy hermoso â¤ï¸ #shorts"/>
    <x v="537"/>
    <n v="1309339"/>
    <n v="18000"/>
    <n v="12"/>
    <n v="22"/>
    <n v="1.3756999999999999"/>
    <n v="59515.41"/>
    <s v="https://www.youtube.com/shorts/acvkiSoN7yQ"/>
    <n v="0"/>
  </r>
  <r>
    <s v="Ib1iejWp2vo"/>
    <s v="Questa sfida Ã¨ impossibileâ€¦. #shorts"/>
    <x v="538"/>
    <n v="89183"/>
    <n v="1100"/>
    <n v="1"/>
    <n v="6"/>
    <n v="1.2344999999999999"/>
    <n v="14863.83"/>
    <s v="https://www.youtube.com/shorts/Ib1iejWp2vo"/>
    <n v="36"/>
  </r>
  <r>
    <s v="aJ4GZuXyfFs"/>
    <s v="&quot;Ci fai un Kit uguale Blu&quot; ðŸ¥°ðŸ’™ #newmartina #kitcompleto #shortsyoutube #shorts #iphone16"/>
    <x v="539"/>
    <n v="4703926"/>
    <n v="159000"/>
    <n v="3084"/>
    <n v="371"/>
    <n v="3.4457"/>
    <n v="12679.05"/>
    <s v="https://www.youtube.com/shorts/aJ4GZuXyfFs"/>
    <n v="802"/>
  </r>
  <r>
    <s v="2BoLHMGoTw4"/>
    <s v="Dieser Airsoft Kunde schieÃŸt den Vogel ab ðŸ˜‚ @AirsoftHeldenYT  #airsoft #airsoftshorts  #shorts"/>
    <x v="540"/>
    <n v="380752"/>
    <n v="8800"/>
    <n v="352"/>
    <n v="4"/>
    <n v="2.4037000000000002"/>
    <n v="95188"/>
    <s v="https://www.youtube.com/shorts/2BoLHMGoTw4"/>
    <n v="0"/>
  </r>
  <r>
    <s v="3IMIZOAzO8o"/>
    <s v="Rudra pen ðŸ–‹ðŸ–Š Chori kar liya ðŸ˜± #shorts #school #trending #funnyvideo"/>
    <x v="465"/>
    <n v="906739"/>
    <n v="5500"/>
    <n v="12"/>
    <n v="13"/>
    <n v="0.6079"/>
    <n v="69749.149999999994"/>
    <s v="https://www.youtube.com/shorts/3IMIZOAzO8o"/>
    <n v="222"/>
  </r>
  <r>
    <s v="VdiLasAiAGk"/>
    <s v="Quando ordina sempre le stesse cose ðŸ‘Œ #shorts #youtubeshorts #viral#trending#shortsfeed #fuorishorts"/>
    <x v="541"/>
    <n v="577118"/>
    <n v="8600"/>
    <n v="308"/>
    <n v="4"/>
    <n v="1.5435000000000001"/>
    <n v="144279.5"/>
    <s v="https://www.youtube.com/shorts/VdiLasAiAGk"/>
    <n v="0"/>
  </r>
  <r>
    <s v="NwKOSS7gYLU"/>
    <s v="Didi Vs Jasoos Aunty! S26 ultra #shorts"/>
    <x v="542"/>
    <n v="1835385"/>
    <n v="31000"/>
    <n v="79"/>
    <n v="16"/>
    <n v="1.6933"/>
    <n v="114711.56"/>
    <s v="https://www.youtube.com/shorts/NwKOSS7gYLU"/>
    <n v="148"/>
  </r>
  <r>
    <s v="mewvPJ_TA5I"/>
    <s v="Makan Permen unik dan lucu #shorts #short #food #permen"/>
    <x v="543"/>
    <n v="5693482"/>
    <n v="54000"/>
    <n v="55"/>
    <n v="536"/>
    <n v="0.94940000000000002"/>
    <n v="10622.17"/>
    <s v="https://www.youtube.com/shorts/mewvPJ_TA5I"/>
    <n v="0"/>
  </r>
  <r>
    <s v="KYJg2RJIt68"/>
    <s v="6 jÃ¤hrige hat kein Benehmen #shorts"/>
    <x v="544"/>
    <n v="419107"/>
    <n v="8900"/>
    <n v="69"/>
    <n v="6"/>
    <n v="2.14"/>
    <n v="69851.17"/>
    <s v="https://www.youtube.com/shorts/KYJg2RJIt68"/>
    <n v="68"/>
  </r>
  <r>
    <s v="oHLQIPquJh0"/>
    <s v="ICH BIN KEIN CLEANGIRL ðŸ˜± #cleangirl #aesthetic #explore #shorts #beauty #makeup #skincare"/>
    <x v="515"/>
    <n v="1085723"/>
    <n v="18000"/>
    <n v="187"/>
    <n v="6"/>
    <n v="1.6751"/>
    <n v="180953.83"/>
    <s v="https://www.youtube.com/shorts/oHLQIPquJh0"/>
    <n v="0"/>
  </r>
  <r>
    <s v="77pG4GYq1qw"/>
    <s v="Mansi ne Rudra ke liye maggi ðŸ banai #shorts #maggi #bhai #love"/>
    <x v="465"/>
    <n v="2837877"/>
    <n v="20000"/>
    <n v="22"/>
    <n v="17"/>
    <n v="0.70550000000000002"/>
    <n v="166933.94"/>
    <s v="https://www.youtube.com/shorts/77pG4GYq1qw"/>
    <n v="203"/>
  </r>
  <r>
    <s v="XuoG8urkKXE"/>
    <s v="Se dio cuenta del error demasiado tarde #shorts"/>
    <x v="545"/>
    <n v="78000"/>
    <n v="315"/>
    <n v="1"/>
    <n v="7"/>
    <n v="0.40510000000000002"/>
    <n v="11142.86"/>
    <s v="https://www.youtube.com/shorts/XuoG8urkKXE"/>
    <n v="417"/>
  </r>
  <r>
    <s v="3spNHFwbXtw"/>
    <s v="Wait for itâ€¦ #funny #couple #love #shorts #short #prank #relationship #relatable #school"/>
    <x v="71"/>
    <n v="4632533"/>
    <n v="83000"/>
    <n v="295"/>
    <n v="475"/>
    <n v="1.798"/>
    <n v="9752.7000000000007"/>
    <s v="https://www.youtube.com/shorts/3spNHFwbXtw"/>
    <n v="0"/>
  </r>
  <r>
    <s v="nHIPB3mC7DA"/>
    <s v="Tom ðŸ“ Jerry (Nandhu&amp;Ammu)Real End TwistðŸ˜ðŸŽˆ #shorts #viral #v5familyshow"/>
    <x v="449"/>
    <n v="1557133"/>
    <n v="20000"/>
    <n v="146"/>
    <n v="7"/>
    <n v="1.2938000000000001"/>
    <n v="222447.57"/>
    <s v="https://www.youtube.com/shorts/nHIPB3mC7DA"/>
    <n v="653"/>
  </r>
  <r>
    <s v="XNk2C-vVlV0"/>
    <s v="ðŸŒ€ðŸŒ€Cylinder gas | petrolâ›½ï¸ | ï¿¼#shorts #funny #comedy #family #sister"/>
    <x v="546"/>
    <n v="1937243"/>
    <n v="46000"/>
    <n v="113"/>
    <n v="6"/>
    <n v="2.3803000000000001"/>
    <n v="322873.83"/>
    <s v="https://www.youtube.com/shorts/XNk2C-vVlV0"/>
    <n v="0"/>
  </r>
  <r>
    <s v="iqpI7C0GStA"/>
    <s v="Action einkaufen mit Mina ðŸ˜³ #canselguel #shorts"/>
    <x v="547"/>
    <n v="75557"/>
    <n v="1400"/>
    <n v="18"/>
    <n v="6"/>
    <n v="1.8767"/>
    <n v="12592.83"/>
    <s v="https://www.youtube.com/shorts/iqpI7C0GStA"/>
    <n v="0"/>
  </r>
  <r>
    <s v="8Chd2whH2hM"/>
    <s v="Every Indian woman ðŸ¤£ #shorts #comedyvideos #ytshorts"/>
    <x v="365"/>
    <n v="462513"/>
    <n v="2800"/>
    <n v="3"/>
    <n v="7"/>
    <n v="0.60599999999999998"/>
    <n v="66073.289999999994"/>
    <s v="https://www.youtube.com/shorts/8Chd2whH2hM"/>
    <n v="0"/>
  </r>
  <r>
    <s v="p2BBhFC0Px4"/>
    <s v="mindig vissza fog jÃ¶nni.... #shorts #magyar"/>
    <x v="548"/>
    <n v="190835"/>
    <n v="2700"/>
    <n v="11"/>
    <n v="11"/>
    <n v="1.4206000000000001"/>
    <n v="17348.64"/>
    <s v="https://www.youtube.com/shorts/p2BBhFC0Px4"/>
    <n v="0"/>
  </r>
  <r>
    <s v="MTl8EoQCSWI"/>
    <s v="Una chica se dibujÃ³ a sÃ­ misma de forma perfecta #shorts"/>
    <x v="549"/>
    <n v="2116657"/>
    <n v="52000"/>
    <n v="214"/>
    <n v="4"/>
    <n v="2.4668000000000001"/>
    <n v="529164.25"/>
    <s v="https://www.youtube.com/shorts/MTl8EoQCSWI"/>
    <n v="588"/>
  </r>
  <r>
    <s v="wYqpvheEsE4"/>
    <s v="ðŸ˜…à°²à±‹à°•à°¿ over loveðŸ¤£#viral #comedy #minivlog #trending #shortvideo #funny #shorts#youtubeshorts#family"/>
    <x v="519"/>
    <n v="3960279"/>
    <n v="80000"/>
    <n v="267"/>
    <n v="8"/>
    <n v="2.0268000000000002"/>
    <n v="495034.88"/>
    <s v="https://www.youtube.com/shorts/wYqpvheEsE4"/>
    <n v="0"/>
  </r>
  <r>
    <s v="UNI3ss9jZuc"/>
    <s v="Was wÃ¤r bei euch auf der 1? ðŸ¤”ðŸ˜‚ #shorts #lidiro"/>
    <x v="468"/>
    <n v="613467"/>
    <n v="19000"/>
    <n v="86"/>
    <n v="9"/>
    <n v="3.1112000000000002"/>
    <n v="68163"/>
    <s v="https://www.youtube.com/shorts/UNI3ss9jZuc"/>
    <n v="58"/>
  </r>
  <r>
    <s v="eaz9qwPKNGQ"/>
    <s v="CUMA RAISHA YANG BOLEH TIDUR DIKAMAR BER AC #shorts"/>
    <x v="528"/>
    <n v="400016"/>
    <n v="2800"/>
    <n v="15"/>
    <n v="7"/>
    <n v="0.70369999999999999"/>
    <n v="57145.14"/>
    <s v="https://www.youtube.com/shorts/eaz9qwPKNGQ"/>
    <n v="26"/>
  </r>
  <r>
    <s v="ZCMajnGjrQ8"/>
    <s v="Daily Ice cream Scam ðŸ˜­ #shorts #relatable #icecream"/>
    <x v="489"/>
    <n v="18441672"/>
    <n v="101000"/>
    <n v="290"/>
    <n v="10"/>
    <n v="0.54920000000000002"/>
    <n v="1844167.2"/>
    <s v="https://www.youtube.com/shorts/ZCMajnGjrQ8"/>
    <n v="0"/>
  </r>
  <r>
    <s v="_G7GLLpL2Ls"/>
    <s v="Pregnancy ðŸ˜â¤ï¸SpecialðŸ˜ðŸ¥° #shorts #youtubeshorts"/>
    <x v="484"/>
    <n v="423583"/>
    <n v="11000"/>
    <n v="34"/>
    <n v="4"/>
    <n v="2.6049000000000002"/>
    <n v="105895.75"/>
    <s v="https://www.youtube.com/shorts/_G7GLLpL2Ls"/>
    <n v="551"/>
  </r>
  <r>
    <s v="-078Qha-UsI"/>
    <s v="Mansi ko GrapesðŸ‡ khane hai #shorts #funny #prank #games"/>
    <x v="465"/>
    <n v="3130177"/>
    <n v="21000"/>
    <n v="24"/>
    <n v="8"/>
    <n v="0.67169999999999996"/>
    <n v="391272.12"/>
    <s v="https://www.youtube.com/shorts/-078Qha-UsI"/>
    <n v="196"/>
  </r>
  <r>
    <s v="Arnv7d0v5Vc"/>
    <s v="When teacher is your dushman ðŸ˜‚ #shorts #viral #explorepage #relatable #school"/>
    <x v="478"/>
    <n v="2876542"/>
    <n v="34000"/>
    <n v="234"/>
    <n v="8"/>
    <n v="1.1900999999999999"/>
    <n v="359567.75"/>
    <s v="https://www.youtube.com/shorts/Arnv7d0v5Vc"/>
    <n v="0"/>
  </r>
  <r>
    <s v="MNQlYXLJbX0"/>
    <s v="Man hat GeschwisterðŸ¤¯ðŸ˜‚ | Lewinray #shorts"/>
    <x v="550"/>
    <n v="2685014"/>
    <n v="53000"/>
    <n v="276"/>
    <n v="6"/>
    <n v="1.9842"/>
    <n v="447502.33"/>
    <s v="https://www.youtube.com/shorts/MNQlYXLJbX0"/>
    <n v="119"/>
  </r>
  <r>
    <m/>
    <m/>
    <x v="551"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7BF7803-43E3-4E40-B305-64A6EB606AD7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F556" firstHeaderRow="0" firstDataRow="1" firstDataCol="1"/>
  <pivotFields count="11">
    <pivotField showAll="0"/>
    <pivotField showAll="0"/>
    <pivotField axis="axisRow" showAll="0" sortType="descending">
      <items count="553">
        <item x="171"/>
        <item x="96"/>
        <item x="226"/>
        <item x="353"/>
        <item x="293"/>
        <item x="75"/>
        <item x="119"/>
        <item x="503"/>
        <item x="132"/>
        <item x="391"/>
        <item x="358"/>
        <item x="415"/>
        <item x="294"/>
        <item x="28"/>
        <item x="514"/>
        <item x="540"/>
        <item x="318"/>
        <item x="360"/>
        <item x="2"/>
        <item x="38"/>
        <item x="116"/>
        <item x="99"/>
        <item x="124"/>
        <item x="408"/>
        <item x="490"/>
        <item x="282"/>
        <item x="330"/>
        <item x="441"/>
        <item x="264"/>
        <item x="129"/>
        <item x="137"/>
        <item x="461"/>
        <item x="242"/>
        <item x="295"/>
        <item x="202"/>
        <item x="549"/>
        <item x="118"/>
        <item x="349"/>
        <item x="372"/>
        <item x="130"/>
        <item x="473"/>
        <item x="274"/>
        <item x="458"/>
        <item x="201"/>
        <item x="228"/>
        <item x="482"/>
        <item x="209"/>
        <item x="251"/>
        <item x="425"/>
        <item x="64"/>
        <item x="420"/>
        <item x="112"/>
        <item x="427"/>
        <item x="107"/>
        <item x="85"/>
        <item x="364"/>
        <item x="499"/>
        <item x="333"/>
        <item x="32"/>
        <item x="356"/>
        <item x="237"/>
        <item x="192"/>
        <item x="154"/>
        <item x="176"/>
        <item x="343"/>
        <item x="338"/>
        <item x="156"/>
        <item x="444"/>
        <item x="450"/>
        <item x="71"/>
        <item x="30"/>
        <item x="416"/>
        <item x="429"/>
        <item x="33"/>
        <item x="374"/>
        <item x="523"/>
        <item x="319"/>
        <item x="76"/>
        <item x="141"/>
        <item x="34"/>
        <item x="155"/>
        <item x="547"/>
        <item x="279"/>
        <item x="390"/>
        <item x="256"/>
        <item x="151"/>
        <item x="515"/>
        <item x="467"/>
        <item x="258"/>
        <item x="532"/>
        <item x="52"/>
        <item x="518"/>
        <item x="456"/>
        <item x="46"/>
        <item x="6"/>
        <item x="194"/>
        <item x="127"/>
        <item x="246"/>
        <item x="233"/>
        <item x="290"/>
        <item x="223"/>
        <item x="371"/>
        <item x="306"/>
        <item x="157"/>
        <item x="203"/>
        <item x="347"/>
        <item x="299"/>
        <item x="21"/>
        <item x="163"/>
        <item x="111"/>
        <item x="315"/>
        <item x="463"/>
        <item x="153"/>
        <item x="459"/>
        <item x="492"/>
        <item x="190"/>
        <item x="245"/>
        <item x="292"/>
        <item x="183"/>
        <item x="180"/>
        <item x="66"/>
        <item x="84"/>
        <item x="160"/>
        <item x="520"/>
        <item x="88"/>
        <item x="537"/>
        <item x="455"/>
        <item x="253"/>
        <item x="399"/>
        <item x="281"/>
        <item x="368"/>
        <item x="54"/>
        <item x="169"/>
        <item x="475"/>
        <item x="211"/>
        <item x="361"/>
        <item x="37"/>
        <item x="424"/>
        <item x="414"/>
        <item x="144"/>
        <item x="133"/>
        <item x="350"/>
        <item x="213"/>
        <item x="196"/>
        <item x="337"/>
        <item x="87"/>
        <item x="393"/>
        <item x="185"/>
        <item x="478"/>
        <item x="57"/>
        <item x="162"/>
        <item x="412"/>
        <item x="60"/>
        <item x="311"/>
        <item x="471"/>
        <item x="166"/>
        <item x="366"/>
        <item x="142"/>
        <item x="541"/>
        <item x="101"/>
        <item x="404"/>
        <item x="260"/>
        <item x="262"/>
        <item x="508"/>
        <item x="521"/>
        <item x="55"/>
        <item x="13"/>
        <item x="300"/>
        <item x="218"/>
        <item x="49"/>
        <item x="517"/>
        <item x="184"/>
        <item x="221"/>
        <item x="174"/>
        <item x="109"/>
        <item x="298"/>
        <item x="313"/>
        <item x="342"/>
        <item x="224"/>
        <item x="93"/>
        <item x="47"/>
        <item x="451"/>
        <item x="507"/>
        <item x="453"/>
        <item x="502"/>
        <item x="263"/>
        <item x="45"/>
        <item x="240"/>
        <item x="452"/>
        <item x="329"/>
        <item x="493"/>
        <item x="528"/>
        <item x="249"/>
        <item x="327"/>
        <item x="470"/>
        <item x="161"/>
        <item x="20"/>
        <item x="50"/>
        <item x="434"/>
        <item x="332"/>
        <item x="39"/>
        <item x="205"/>
        <item x="303"/>
        <item x="380"/>
        <item x="328"/>
        <item x="505"/>
        <item x="512"/>
        <item x="115"/>
        <item x="193"/>
        <item x="388"/>
        <item x="454"/>
        <item x="35"/>
        <item x="102"/>
        <item x="348"/>
        <item x="402"/>
        <item x="12"/>
        <item x="62"/>
        <item x="466"/>
        <item x="25"/>
        <item x="457"/>
        <item x="7"/>
        <item x="26"/>
        <item x="243"/>
        <item x="543"/>
        <item x="247"/>
        <item x="91"/>
        <item x="510"/>
        <item x="231"/>
        <item x="219"/>
        <item x="267"/>
        <item x="422"/>
        <item x="92"/>
        <item x="314"/>
        <item x="14"/>
        <item x="317"/>
        <item x="42"/>
        <item x="496"/>
        <item x="309"/>
        <item x="179"/>
        <item x="5"/>
        <item x="238"/>
        <item x="178"/>
        <item x="197"/>
        <item x="494"/>
        <item x="272"/>
        <item x="378"/>
        <item x="81"/>
        <item x="271"/>
        <item x="326"/>
        <item x="346"/>
        <item x="403"/>
        <item x="357"/>
        <item x="135"/>
        <item x="550"/>
        <item x="468"/>
        <item x="113"/>
        <item x="397"/>
        <item x="513"/>
        <item x="291"/>
        <item x="277"/>
        <item x="11"/>
        <item x="204"/>
        <item x="280"/>
        <item x="423"/>
        <item x="297"/>
        <item x="41"/>
        <item x="68"/>
        <item x="363"/>
        <item x="90"/>
        <item x="394"/>
        <item x="367"/>
        <item x="421"/>
        <item x="273"/>
        <item x="488"/>
        <item x="525"/>
        <item x="477"/>
        <item x="474"/>
        <item x="448"/>
        <item x="430"/>
        <item x="17"/>
        <item x="484"/>
        <item x="189"/>
        <item x="355"/>
        <item x="285"/>
        <item x="27"/>
        <item x="24"/>
        <item x="95"/>
        <item x="442"/>
        <item x="469"/>
        <item x="200"/>
        <item x="464"/>
        <item x="413"/>
        <item x="120"/>
        <item x="501"/>
        <item x="495"/>
        <item x="19"/>
        <item x="396"/>
        <item x="301"/>
        <item x="284"/>
        <item x="526"/>
        <item x="445"/>
        <item x="498"/>
        <item x="80"/>
        <item x="106"/>
        <item x="383"/>
        <item x="375"/>
        <item x="462"/>
        <item x="384"/>
        <item x="18"/>
        <item x="51"/>
        <item x="270"/>
        <item x="53"/>
        <item x="4"/>
        <item x="117"/>
        <item x="395"/>
        <item x="232"/>
        <item x="398"/>
        <item x="431"/>
        <item x="78"/>
        <item x="286"/>
        <item x="110"/>
        <item x="533"/>
        <item x="168"/>
        <item x="16"/>
        <item x="227"/>
        <item x="165"/>
        <item x="276"/>
        <item x="177"/>
        <item x="546"/>
        <item x="345"/>
        <item x="491"/>
        <item x="443"/>
        <item x="538"/>
        <item x="539"/>
        <item x="136"/>
        <item x="476"/>
        <item x="248"/>
        <item x="433"/>
        <item x="254"/>
        <item x="289"/>
        <item x="138"/>
        <item x="187"/>
        <item x="207"/>
        <item x="339"/>
        <item x="283"/>
        <item x="10"/>
        <item x="269"/>
        <item x="212"/>
        <item x="369"/>
        <item x="487"/>
        <item x="322"/>
        <item x="536"/>
        <item x="410"/>
        <item x="244"/>
        <item x="182"/>
        <item x="460"/>
        <item x="548"/>
        <item x="344"/>
        <item x="239"/>
        <item x="527"/>
        <item x="325"/>
        <item x="44"/>
        <item x="522"/>
        <item x="229"/>
        <item x="377"/>
        <item x="82"/>
        <item x="435"/>
        <item x="516"/>
        <item x="216"/>
        <item x="336"/>
        <item x="392"/>
        <item x="150"/>
        <item x="198"/>
        <item x="65"/>
        <item x="48"/>
        <item x="370"/>
        <item x="159"/>
        <item x="296"/>
        <item x="15"/>
        <item x="426"/>
        <item x="417"/>
        <item x="428"/>
        <item x="351"/>
        <item x="400"/>
        <item x="139"/>
        <item x="479"/>
        <item x="108"/>
        <item x="465"/>
        <item x="278"/>
        <item x="125"/>
        <item x="352"/>
        <item x="225"/>
        <item x="535"/>
        <item x="167"/>
        <item x="23"/>
        <item x="140"/>
        <item x="310"/>
        <item x="70"/>
        <item x="354"/>
        <item x="58"/>
        <item x="164"/>
        <item x="86"/>
        <item x="188"/>
        <item x="143"/>
        <item x="100"/>
        <item x="250"/>
        <item x="29"/>
        <item x="69"/>
        <item x="266"/>
        <item x="497"/>
        <item x="304"/>
        <item x="534"/>
        <item x="320"/>
        <item x="122"/>
        <item x="387"/>
        <item x="486"/>
        <item x="98"/>
        <item x="40"/>
        <item x="255"/>
        <item x="214"/>
        <item x="381"/>
        <item x="74"/>
        <item x="307"/>
        <item x="265"/>
        <item x="206"/>
        <item x="511"/>
        <item x="257"/>
        <item x="305"/>
        <item x="131"/>
        <item x="365"/>
        <item x="542"/>
        <item x="373"/>
        <item x="175"/>
        <item x="56"/>
        <item x="446"/>
        <item x="230"/>
        <item x="104"/>
        <item x="288"/>
        <item x="128"/>
        <item x="531"/>
        <item x="323"/>
        <item x="268"/>
        <item x="359"/>
        <item x="440"/>
        <item x="472"/>
        <item x="97"/>
        <item x="215"/>
        <item x="235"/>
        <item x="234"/>
        <item x="191"/>
        <item x="438"/>
        <item x="324"/>
        <item x="1"/>
        <item x="530"/>
        <item x="405"/>
        <item x="483"/>
        <item x="199"/>
        <item x="121"/>
        <item x="210"/>
        <item x="170"/>
        <item x="436"/>
        <item x="439"/>
        <item x="382"/>
        <item x="480"/>
        <item x="437"/>
        <item x="379"/>
        <item x="172"/>
        <item x="72"/>
        <item x="485"/>
        <item x="302"/>
        <item x="114"/>
        <item x="146"/>
        <item x="79"/>
        <item x="173"/>
        <item x="126"/>
        <item x="401"/>
        <item x="481"/>
        <item x="411"/>
        <item x="334"/>
        <item x="419"/>
        <item x="217"/>
        <item x="524"/>
        <item x="275"/>
        <item x="316"/>
        <item x="36"/>
        <item x="506"/>
        <item x="181"/>
        <item x="321"/>
        <item x="362"/>
        <item x="22"/>
        <item x="31"/>
        <item x="149"/>
        <item x="489"/>
        <item x="94"/>
        <item x="447"/>
        <item x="376"/>
        <item x="312"/>
        <item x="544"/>
        <item x="0"/>
        <item x="261"/>
        <item x="406"/>
        <item x="389"/>
        <item x="407"/>
        <item x="103"/>
        <item x="331"/>
        <item x="409"/>
        <item x="500"/>
        <item x="89"/>
        <item x="8"/>
        <item x="73"/>
        <item x="335"/>
        <item x="545"/>
        <item x="220"/>
        <item x="9"/>
        <item x="519"/>
        <item x="287"/>
        <item x="208"/>
        <item x="385"/>
        <item x="259"/>
        <item x="449"/>
        <item x="509"/>
        <item x="386"/>
        <item x="148"/>
        <item x="145"/>
        <item x="341"/>
        <item x="67"/>
        <item x="236"/>
        <item x="3"/>
        <item x="252"/>
        <item x="83"/>
        <item x="59"/>
        <item x="158"/>
        <item x="123"/>
        <item x="61"/>
        <item x="241"/>
        <item x="152"/>
        <item x="340"/>
        <item x="105"/>
        <item x="147"/>
        <item x="134"/>
        <item x="504"/>
        <item x="186"/>
        <item x="77"/>
        <item x="432"/>
        <item x="222"/>
        <item x="529"/>
        <item x="63"/>
        <item x="43"/>
        <item x="418"/>
        <item x="308"/>
        <item x="195"/>
        <item x="551"/>
        <item t="default"/>
      </items>
      <autoSortScope>
        <pivotArea dataOnly="0" outline="0" fieldPosition="0">
          <references count="1">
            <reference field="4294967294" count="1" selected="0">
              <x v="4"/>
            </reference>
          </references>
        </pivotArea>
      </autoSortScope>
    </pivotField>
    <pivotField dataField="1" showAll="0"/>
    <pivotField dataField="1" showAll="0"/>
    <pivotField dataField="1" showAll="0"/>
    <pivotField dataField="1" showAll="0"/>
    <pivotField dataField="1" showAll="0"/>
    <pivotField showAll="0"/>
    <pivotField showAll="0"/>
    <pivotField showAll="0"/>
  </pivotFields>
  <rowFields count="1">
    <field x="2"/>
  </rowFields>
  <rowItems count="553">
    <i>
      <x v="395"/>
    </i>
    <i>
      <x v="367"/>
    </i>
    <i>
      <x v="2"/>
    </i>
    <i>
      <x v="172"/>
    </i>
    <i>
      <x v="227"/>
    </i>
    <i>
      <x v="447"/>
    </i>
    <i>
      <x v="391"/>
    </i>
    <i>
      <x v="358"/>
    </i>
    <i>
      <x v="502"/>
    </i>
    <i>
      <x v="449"/>
    </i>
    <i>
      <x v="448"/>
    </i>
    <i>
      <x v="526"/>
    </i>
    <i>
      <x v="60"/>
    </i>
    <i>
      <x v="242"/>
    </i>
    <i>
      <x v="268"/>
    </i>
    <i>
      <x v="363"/>
    </i>
    <i>
      <x v="314"/>
    </i>
    <i>
      <x v="98"/>
    </i>
    <i>
      <x v="534"/>
    </i>
    <i>
      <x v="315"/>
    </i>
    <i>
      <x v="187"/>
    </i>
    <i>
      <x v="361"/>
    </i>
    <i>
      <x v="338"/>
    </i>
    <i>
      <x v="146"/>
    </i>
    <i>
      <x v="257"/>
    </i>
    <i>
      <x v="73"/>
    </i>
    <i>
      <x v="197"/>
    </i>
    <i>
      <x v="489"/>
    </i>
    <i>
      <x v="510"/>
    </i>
    <i>
      <x v="359"/>
    </i>
    <i>
      <x v="273"/>
    </i>
    <i>
      <x v="299"/>
    </i>
    <i>
      <x v="311"/>
    </i>
    <i>
      <x v="462"/>
    </i>
    <i>
      <x v="325"/>
    </i>
    <i>
      <x v="37"/>
    </i>
    <i>
      <x v="406"/>
    </i>
    <i>
      <x v="168"/>
    </i>
    <i>
      <x v="295"/>
    </i>
    <i>
      <x v="87"/>
    </i>
    <i>
      <x v="459"/>
    </i>
    <i>
      <x v="9"/>
    </i>
    <i>
      <x v="233"/>
    </i>
    <i>
      <x v="32"/>
    </i>
    <i>
      <x v="202"/>
    </i>
    <i>
      <x v="241"/>
    </i>
    <i>
      <x v="263"/>
    </i>
    <i>
      <x v="101"/>
    </i>
    <i>
      <x v="104"/>
    </i>
    <i>
      <x v="95"/>
    </i>
    <i>
      <x v="79"/>
    </i>
    <i>
      <x v="433"/>
    </i>
    <i>
      <x v="394"/>
    </i>
    <i>
      <x v="258"/>
    </i>
    <i>
      <x v="473"/>
    </i>
    <i>
      <x v="147"/>
    </i>
    <i>
      <x v="536"/>
    </i>
    <i>
      <x v="31"/>
    </i>
    <i>
      <x v="506"/>
    </i>
    <i>
      <x v="455"/>
    </i>
    <i>
      <x v="527"/>
    </i>
    <i>
      <x v="303"/>
    </i>
    <i>
      <x v="438"/>
    </i>
    <i>
      <x v="331"/>
    </i>
    <i>
      <x v="192"/>
    </i>
    <i>
      <x v="545"/>
    </i>
    <i>
      <x/>
    </i>
    <i>
      <x v="182"/>
    </i>
    <i>
      <x v="88"/>
    </i>
    <i>
      <x v="142"/>
    </i>
    <i>
      <x v="544"/>
    </i>
    <i>
      <x v="432"/>
    </i>
    <i>
      <x v="155"/>
    </i>
    <i>
      <x v="29"/>
    </i>
    <i>
      <x v="274"/>
    </i>
    <i>
      <x v="160"/>
    </i>
    <i>
      <x v="45"/>
    </i>
    <i>
      <x v="516"/>
    </i>
    <i>
      <x v="413"/>
    </i>
    <i>
      <x v="246"/>
    </i>
    <i>
      <x v="341"/>
    </i>
    <i>
      <x v="27"/>
    </i>
    <i>
      <x v="57"/>
    </i>
    <i>
      <x v="173"/>
    </i>
    <i>
      <x v="23"/>
    </i>
    <i>
      <x v="409"/>
    </i>
    <i>
      <x v="531"/>
    </i>
    <i>
      <x v="291"/>
    </i>
    <i>
      <x v="457"/>
    </i>
    <i>
      <x v="499"/>
    </i>
    <i>
      <x v="179"/>
    </i>
    <i>
      <x v="78"/>
    </i>
    <i>
      <x v="50"/>
    </i>
    <i>
      <x v="539"/>
    </i>
    <i>
      <x v="69"/>
    </i>
    <i>
      <x v="260"/>
    </i>
    <i>
      <x v="58"/>
    </i>
    <i>
      <x v="236"/>
    </i>
    <i>
      <x v="436"/>
    </i>
    <i>
      <x v="375"/>
    </i>
    <i>
      <x v="166"/>
    </i>
    <i>
      <x v="428"/>
    </i>
    <i>
      <x v="478"/>
    </i>
    <i>
      <x v="130"/>
    </i>
    <i>
      <x v="165"/>
    </i>
    <i>
      <x v="421"/>
    </i>
    <i>
      <x v="223"/>
    </i>
    <i>
      <x v="237"/>
    </i>
    <i>
      <x v="371"/>
    </i>
    <i>
      <x v="107"/>
    </i>
    <i>
      <x v="25"/>
    </i>
    <i>
      <x v="509"/>
    </i>
    <i>
      <x v="62"/>
    </i>
    <i>
      <x v="43"/>
    </i>
    <i>
      <x v="346"/>
    </i>
    <i>
      <x v="206"/>
    </i>
    <i>
      <x v="281"/>
    </i>
    <i>
      <x v="383"/>
    </i>
    <i>
      <x v="232"/>
    </i>
    <i>
      <x v="535"/>
    </i>
    <i>
      <x v="324"/>
    </i>
    <i>
      <x v="342"/>
    </i>
    <i>
      <x v="504"/>
    </i>
    <i>
      <x v="199"/>
    </i>
    <i>
      <x v="115"/>
    </i>
    <i>
      <x v="207"/>
    </i>
    <i>
      <x v="225"/>
    </i>
    <i>
      <x v="418"/>
    </i>
    <i>
      <x v="119"/>
    </i>
    <i>
      <x v="143"/>
    </i>
    <i>
      <x v="550"/>
    </i>
    <i>
      <x v="405"/>
    </i>
    <i>
      <x v="290"/>
    </i>
    <i>
      <x v="467"/>
    </i>
    <i>
      <x v="216"/>
    </i>
    <i>
      <x v="316"/>
    </i>
    <i>
      <x v="193"/>
    </i>
    <i>
      <x v="10"/>
    </i>
    <i>
      <x v="108"/>
    </i>
    <i>
      <x v="124"/>
    </i>
    <i>
      <x v="450"/>
    </i>
    <i>
      <x v="396"/>
    </i>
    <i>
      <x v="137"/>
    </i>
    <i>
      <x v="456"/>
    </i>
    <i>
      <x v="215"/>
    </i>
    <i>
      <x v="53"/>
    </i>
    <i>
      <x v="278"/>
    </i>
    <i>
      <x v="333"/>
    </i>
    <i>
      <x v="349"/>
    </i>
    <i>
      <x v="186"/>
    </i>
    <i>
      <x v="256"/>
    </i>
    <i>
      <x v="471"/>
    </i>
    <i>
      <x v="282"/>
    </i>
    <i>
      <x v="243"/>
    </i>
    <i>
      <x v="403"/>
    </i>
    <i>
      <x v="80"/>
    </i>
    <i>
      <x v="162"/>
    </i>
    <i>
      <x v="452"/>
    </i>
    <i>
      <x v="191"/>
    </i>
    <i>
      <x v="410"/>
    </i>
    <i>
      <x v="493"/>
    </i>
    <i>
      <x v="204"/>
    </i>
    <i>
      <x v="157"/>
    </i>
    <i>
      <x v="12"/>
    </i>
    <i>
      <x v="250"/>
    </i>
    <i>
      <x v="366"/>
    </i>
    <i>
      <x v="398"/>
    </i>
    <i>
      <x v="400"/>
    </i>
    <i>
      <x v="54"/>
    </i>
    <i>
      <x v="543"/>
    </i>
    <i>
      <x v="399"/>
    </i>
    <i>
      <x v="541"/>
    </i>
    <i>
      <x v="348"/>
    </i>
    <i>
      <x v="337"/>
    </i>
    <i>
      <x v="178"/>
    </i>
    <i>
      <x v="34"/>
    </i>
    <i>
      <x v="77"/>
    </i>
    <i>
      <x v="5"/>
    </i>
    <i>
      <x v="112"/>
    </i>
    <i>
      <x v="61"/>
    </i>
    <i>
      <x v="150"/>
    </i>
    <i>
      <x v="66"/>
    </i>
    <i>
      <x v="525"/>
    </i>
    <i>
      <x v="279"/>
    </i>
    <i>
      <x v="90"/>
    </i>
    <i>
      <x v="176"/>
    </i>
    <i>
      <x v="323"/>
    </i>
    <i>
      <x v="442"/>
    </i>
    <i>
      <x v="152"/>
    </i>
    <i>
      <x v="368"/>
    </i>
    <i>
      <x v="392"/>
    </i>
    <i>
      <x v="203"/>
    </i>
    <i>
      <x v="262"/>
    </i>
    <i>
      <x v="486"/>
    </i>
    <i>
      <x v="461"/>
    </i>
    <i>
      <x v="234"/>
    </i>
    <i>
      <x v="82"/>
    </i>
    <i>
      <x v="408"/>
    </i>
    <i>
      <x v="446"/>
    </i>
    <i>
      <x v="490"/>
    </i>
    <i>
      <x v="219"/>
    </i>
    <i>
      <x v="269"/>
    </i>
    <i>
      <x v="529"/>
    </i>
    <i>
      <x v="548"/>
    </i>
    <i>
      <x v="469"/>
    </i>
    <i>
      <x v="167"/>
    </i>
    <i>
      <x v="196"/>
    </i>
    <i>
      <x v="439"/>
    </i>
    <i>
      <x v="373"/>
    </i>
    <i>
      <x v="372"/>
    </i>
    <i>
      <x v="330"/>
    </i>
    <i>
      <x v="220"/>
    </i>
    <i>
      <x v="374"/>
    </i>
    <i>
      <x v="238"/>
    </i>
    <i>
      <x v="240"/>
    </i>
    <i>
      <x v="393"/>
    </i>
    <i>
      <x v="171"/>
    </i>
    <i>
      <x v="382"/>
    </i>
    <i>
      <x v="156"/>
    </i>
    <i>
      <x v="185"/>
    </i>
    <i>
      <x v="285"/>
    </i>
    <i>
      <x v="195"/>
    </i>
    <i>
      <x v="109"/>
    </i>
    <i>
      <x v="507"/>
    </i>
    <i>
      <x v="386"/>
    </i>
    <i>
      <x v="484"/>
    </i>
    <i>
      <x v="103"/>
    </i>
    <i>
      <x v="402"/>
    </i>
    <i>
      <x v="327"/>
    </i>
    <i>
      <x v="397"/>
    </i>
    <i>
      <x v="244"/>
    </i>
    <i>
      <x v="100"/>
    </i>
    <i>
      <x v="530"/>
    </i>
    <i>
      <x v="310"/>
    </i>
    <i>
      <x v="28"/>
    </i>
    <i>
      <x v="248"/>
    </i>
    <i>
      <x v="213"/>
    </i>
    <i>
      <x v="212"/>
    </i>
    <i>
      <x v="500"/>
    </i>
    <i>
      <x v="94"/>
    </i>
    <i>
      <x v="18"/>
    </i>
    <i>
      <x v="498"/>
    </i>
    <i>
      <x v="423"/>
    </i>
    <i>
      <x v="288"/>
    </i>
    <i>
      <x v="63"/>
    </i>
    <i>
      <x v="228"/>
    </i>
    <i>
      <x v="427"/>
    </i>
    <i>
      <x v="284"/>
    </i>
    <i>
      <x v="296"/>
    </i>
    <i>
      <x v="414"/>
    </i>
    <i>
      <x v="390"/>
    </i>
    <i>
      <x v="133"/>
    </i>
    <i>
      <x v="322"/>
    </i>
    <i>
      <x v="508"/>
    </i>
    <i>
      <x v="36"/>
    </i>
    <i>
      <x v="26"/>
    </i>
    <i>
      <x v="318"/>
    </i>
    <i>
      <x v="329"/>
    </i>
    <i>
      <x v="298"/>
    </i>
    <i>
      <x v="19"/>
    </i>
    <i>
      <x v="161"/>
    </i>
    <i>
      <x v="266"/>
    </i>
    <i>
      <x v="424"/>
    </i>
    <i>
      <x v="180"/>
    </i>
    <i>
      <x v="92"/>
    </i>
    <i>
      <x v="435"/>
    </i>
    <i>
      <x v="247"/>
    </i>
    <i>
      <x v="22"/>
    </i>
    <i>
      <x v="211"/>
    </i>
    <i>
      <x v="48"/>
    </i>
    <i>
      <x v="159"/>
    </i>
    <i>
      <x v="512"/>
    </i>
    <i>
      <x v="376"/>
    </i>
    <i>
      <x v="419"/>
    </i>
    <i>
      <x v="113"/>
    </i>
    <i>
      <x v="286"/>
    </i>
    <i>
      <x v="407"/>
    </i>
    <i>
      <x v="40"/>
    </i>
    <i>
      <x v="312"/>
    </i>
    <i>
      <x v="528"/>
    </i>
    <i>
      <x v="345"/>
    </i>
    <i>
      <x v="523"/>
    </i>
    <i>
      <x v="275"/>
    </i>
    <i>
      <x v="6"/>
    </i>
    <i>
      <x v="105"/>
    </i>
    <i>
      <x v="114"/>
    </i>
    <i>
      <x v="122"/>
    </i>
    <i>
      <x v="46"/>
    </i>
    <i>
      <x v="538"/>
    </i>
    <i>
      <x v="485"/>
    </i>
    <i>
      <x v="184"/>
    </i>
    <i>
      <x v="354"/>
    </i>
    <i>
      <x v="292"/>
    </i>
    <i>
      <x v="8"/>
    </i>
    <i>
      <x v="121"/>
    </i>
    <i>
      <x v="451"/>
    </i>
    <i>
      <x v="85"/>
    </i>
    <i>
      <x v="491"/>
    </i>
    <i>
      <x v="470"/>
    </i>
    <i>
      <x v="21"/>
    </i>
    <i>
      <x v="264"/>
    </i>
    <i>
      <x v="416"/>
    </i>
    <i>
      <x v="30"/>
    </i>
    <i>
      <x v="106"/>
    </i>
    <i>
      <x v="222"/>
    </i>
    <i>
      <x v="542"/>
    </i>
    <i>
      <x v="404"/>
    </i>
    <i>
      <x v="1"/>
    </i>
    <i>
      <x v="218"/>
    </i>
    <i>
      <x v="440"/>
    </i>
    <i>
      <x v="138"/>
    </i>
    <i>
      <x v="389"/>
    </i>
    <i>
      <x v="65"/>
    </i>
    <i>
      <x v="515"/>
    </i>
    <i>
      <x v="417"/>
    </i>
    <i>
      <x v="445"/>
    </i>
    <i>
      <x v="96"/>
    </i>
    <i>
      <x v="221"/>
    </i>
    <i>
      <x v="384"/>
    </i>
    <i>
      <x v="472"/>
    </i>
    <i>
      <x v="255"/>
    </i>
    <i>
      <x v="302"/>
    </i>
    <i>
      <x v="239"/>
    </i>
    <i>
      <x v="532"/>
    </i>
    <i>
      <x v="51"/>
    </i>
    <i>
      <x v="320"/>
    </i>
    <i>
      <x v="313"/>
    </i>
    <i>
      <x v="252"/>
    </i>
    <i>
      <x v="139"/>
    </i>
    <i>
      <x v="401"/>
    </i>
    <i>
      <x v="334"/>
    </i>
    <i>
      <x v="377"/>
    </i>
    <i>
      <x v="145"/>
    </i>
    <i>
      <x v="174"/>
    </i>
    <i>
      <x v="20"/>
    </i>
    <i>
      <x v="540"/>
    </i>
    <i>
      <x v="39"/>
    </i>
    <i>
      <x v="308"/>
    </i>
    <i>
      <x v="170"/>
    </i>
    <i>
      <x v="175"/>
    </i>
    <i>
      <x v="153"/>
    </i>
    <i>
      <x v="49"/>
    </i>
    <i>
      <x v="388"/>
    </i>
    <i>
      <x v="47"/>
    </i>
    <i>
      <x v="293"/>
    </i>
    <i>
      <x v="454"/>
    </i>
    <i>
      <x v="209"/>
    </i>
    <i>
      <x v="537"/>
    </i>
    <i>
      <x v="474"/>
    </i>
    <i>
      <x v="134"/>
    </i>
    <i>
      <x v="129"/>
    </i>
    <i>
      <x v="267"/>
    </i>
    <i>
      <x v="125"/>
    </i>
    <i>
      <x v="140"/>
    </i>
    <i>
      <x v="360"/>
    </i>
    <i>
      <x v="289"/>
    </i>
    <i>
      <x v="319"/>
    </i>
    <i>
      <x v="76"/>
    </i>
    <i>
      <x v="116"/>
    </i>
    <i>
      <x v="426"/>
    </i>
    <i>
      <x v="475"/>
    </i>
    <i>
      <x v="16"/>
    </i>
    <i>
      <x v="190"/>
    </i>
    <i>
      <x v="340"/>
    </i>
    <i>
      <x v="294"/>
    </i>
    <i>
      <x v="496"/>
    </i>
    <i>
      <x v="249"/>
    </i>
    <i>
      <x v="7"/>
    </i>
    <i>
      <x v="149"/>
    </i>
    <i>
      <x v="89"/>
    </i>
    <i>
      <x v="430"/>
    </i>
    <i>
      <x v="127"/>
    </i>
    <i>
      <x v="283"/>
    </i>
    <i>
      <x v="412"/>
    </i>
    <i>
      <x v="339"/>
    </i>
    <i>
      <x v="444"/>
    </i>
    <i>
      <x v="326"/>
    </i>
    <i>
      <x v="520"/>
    </i>
    <i>
      <x v="425"/>
    </i>
    <i>
      <x v="71"/>
    </i>
    <i>
      <x v="132"/>
    </i>
    <i>
      <x v="229"/>
    </i>
    <i>
      <x v="492"/>
    </i>
    <i>
      <x v="200"/>
    </i>
    <i>
      <x v="259"/>
    </i>
    <i>
      <x v="335"/>
    </i>
    <i>
      <x v="482"/>
    </i>
    <i>
      <x v="128"/>
    </i>
    <i>
      <x v="230"/>
    </i>
    <i>
      <x v="519"/>
    </i>
    <i>
      <x v="254"/>
    </i>
    <i>
      <x v="387"/>
    </i>
    <i>
      <x v="336"/>
    </i>
    <i>
      <x v="356"/>
    </i>
    <i>
      <x v="458"/>
    </i>
    <i>
      <x v="385"/>
    </i>
    <i>
      <x v="126"/>
    </i>
    <i>
      <x v="181"/>
    </i>
    <i>
      <x v="494"/>
    </i>
    <i>
      <x v="481"/>
    </i>
    <i>
      <x v="344"/>
    </i>
    <i>
      <x v="351"/>
    </i>
    <i>
      <x v="287"/>
    </i>
    <i>
      <x v="479"/>
    </i>
    <i>
      <x v="463"/>
    </i>
    <i>
      <x v="64"/>
    </i>
    <i>
      <x v="210"/>
    </i>
    <i>
      <x v="217"/>
    </i>
    <i>
      <x v="514"/>
    </i>
    <i>
      <x v="148"/>
    </i>
    <i>
      <x v="380"/>
    </i>
    <i>
      <x v="437"/>
    </i>
    <i>
      <x v="321"/>
    </i>
    <i>
      <x v="501"/>
    </i>
    <i>
      <x v="194"/>
    </i>
    <i>
      <x v="245"/>
    </i>
    <i>
      <x v="276"/>
    </i>
    <i>
      <x v="352"/>
    </i>
    <i>
      <x v="300"/>
    </i>
    <i>
      <x v="511"/>
    </i>
    <i>
      <x v="277"/>
    </i>
    <i>
      <x v="464"/>
    </i>
    <i>
      <x v="468"/>
    </i>
    <i>
      <x v="495"/>
    </i>
    <i>
      <x v="431"/>
    </i>
    <i>
      <x v="453"/>
    </i>
    <i>
      <x v="67"/>
    </i>
    <i>
      <x v="75"/>
    </i>
    <i>
      <x v="164"/>
    </i>
    <i>
      <x v="123"/>
    </i>
    <i>
      <x v="111"/>
    </i>
    <i>
      <x v="271"/>
    </i>
    <i>
      <x v="381"/>
    </i>
    <i>
      <x v="332"/>
    </i>
    <i>
      <x v="355"/>
    </i>
    <i>
      <x v="517"/>
    </i>
    <i>
      <x v="521"/>
    </i>
    <i>
      <x v="497"/>
    </i>
    <i>
      <x v="434"/>
    </i>
    <i>
      <x v="443"/>
    </i>
    <i>
      <x v="415"/>
    </i>
    <i>
      <x v="328"/>
    </i>
    <i>
      <x v="343"/>
    </i>
    <i>
      <x v="305"/>
    </i>
    <i>
      <x v="364"/>
    </i>
    <i>
      <x v="306"/>
    </i>
    <i>
      <x v="24"/>
    </i>
    <i>
      <x v="120"/>
    </i>
    <i>
      <x v="68"/>
    </i>
    <i>
      <x v="74"/>
    </i>
    <i>
      <x v="253"/>
    </i>
    <i>
      <x v="3"/>
    </i>
    <i>
      <x v="59"/>
    </i>
    <i>
      <x v="189"/>
    </i>
    <i>
      <x v="56"/>
    </i>
    <i>
      <x v="183"/>
    </i>
    <i>
      <x v="55"/>
    </i>
    <i>
      <x v="11"/>
    </i>
    <i>
      <x v="81"/>
    </i>
    <i>
      <x v="429"/>
    </i>
    <i>
      <x v="309"/>
    </i>
    <i>
      <x v="524"/>
    </i>
    <i>
      <x v="487"/>
    </i>
    <i>
      <x v="307"/>
    </i>
    <i>
      <x v="350"/>
    </i>
    <i>
      <x v="476"/>
    </i>
    <i>
      <x v="163"/>
    </i>
    <i>
      <x v="188"/>
    </i>
    <i>
      <x v="270"/>
    </i>
    <i>
      <x v="41"/>
    </i>
    <i>
      <x v="99"/>
    </i>
    <i>
      <x v="226"/>
    </i>
    <i>
      <x v="110"/>
    </i>
    <i>
      <x v="86"/>
    </i>
    <i>
      <x v="154"/>
    </i>
    <i>
      <x v="513"/>
    </i>
    <i>
      <x v="280"/>
    </i>
    <i>
      <x v="379"/>
    </i>
    <i>
      <x v="304"/>
    </i>
    <i>
      <x v="460"/>
    </i>
    <i>
      <x v="301"/>
    </i>
    <i>
      <x v="465"/>
    </i>
    <i>
      <x v="52"/>
    </i>
    <i>
      <x v="224"/>
    </i>
    <i>
      <x v="205"/>
    </i>
    <i>
      <x v="214"/>
    </i>
    <i>
      <x v="158"/>
    </i>
    <i>
      <x v="198"/>
    </i>
    <i>
      <x v="131"/>
    </i>
    <i>
      <x v="84"/>
    </i>
    <i>
      <x v="15"/>
    </i>
    <i>
      <x v="38"/>
    </i>
    <i>
      <x v="251"/>
    </i>
    <i>
      <x v="35"/>
    </i>
    <i>
      <x v="357"/>
    </i>
    <i>
      <x v="422"/>
    </i>
    <i>
      <x v="370"/>
    </i>
    <i>
      <x v="169"/>
    </i>
    <i>
      <x v="72"/>
    </i>
    <i>
      <x v="91"/>
    </i>
    <i>
      <x v="177"/>
    </i>
    <i>
      <x v="118"/>
    </i>
    <i>
      <x v="13"/>
    </i>
    <i>
      <x v="70"/>
    </i>
    <i>
      <x v="136"/>
    </i>
    <i>
      <x v="272"/>
    </i>
    <i>
      <x v="4"/>
    </i>
    <i>
      <x v="231"/>
    </i>
    <i>
      <x v="17"/>
    </i>
    <i>
      <x v="97"/>
    </i>
    <i>
      <x v="522"/>
    </i>
    <i>
      <x v="378"/>
    </i>
    <i>
      <x v="135"/>
    </i>
    <i>
      <x v="141"/>
    </i>
    <i>
      <x v="347"/>
    </i>
    <i>
      <x v="297"/>
    </i>
    <i>
      <x v="549"/>
    </i>
    <i>
      <x v="503"/>
    </i>
    <i>
      <x v="547"/>
    </i>
    <i>
      <x v="369"/>
    </i>
    <i>
      <x v="365"/>
    </i>
    <i>
      <x v="411"/>
    </i>
    <i>
      <x v="353"/>
    </i>
    <i>
      <x v="505"/>
    </i>
    <i>
      <x v="362"/>
    </i>
    <i>
      <x v="483"/>
    </i>
    <i>
      <x v="518"/>
    </i>
    <i>
      <x v="420"/>
    </i>
    <i>
      <x v="533"/>
    </i>
    <i>
      <x v="546"/>
    </i>
    <i>
      <x v="480"/>
    </i>
    <i>
      <x v="488"/>
    </i>
    <i>
      <x v="466"/>
    </i>
    <i>
      <x v="317"/>
    </i>
    <i>
      <x v="441"/>
    </i>
    <i>
      <x v="477"/>
    </i>
    <i>
      <x v="83"/>
    </i>
    <i>
      <x v="261"/>
    </i>
    <i>
      <x v="14"/>
    </i>
    <i>
      <x v="33"/>
    </i>
    <i>
      <x v="42"/>
    </i>
    <i>
      <x v="44"/>
    </i>
    <i>
      <x v="151"/>
    </i>
    <i>
      <x v="93"/>
    </i>
    <i>
      <x v="201"/>
    </i>
    <i>
      <x v="144"/>
    </i>
    <i>
      <x v="117"/>
    </i>
    <i>
      <x v="235"/>
    </i>
    <i>
      <x v="265"/>
    </i>
    <i>
      <x v="208"/>
    </i>
    <i>
      <x v="102"/>
    </i>
    <i>
      <x v="551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Average of Views" fld="3" subtotal="average" baseField="2" baseItem="0"/>
    <dataField name="Max of Engagement_Rate_%" fld="7" subtotal="max" baseField="2" baseItem="0"/>
    <dataField name="Average of Likes" fld="4" subtotal="average" baseField="2" baseItem="0"/>
    <dataField name="Average of Comments" fld="5" subtotal="average" baseField="2" baseItem="0"/>
    <dataField name="Average of Age_In_Days" fld="6" subtotal="average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D22576-56A3-48E2-8E7B-3AFB75C96007}">
  <dimension ref="A2:H556"/>
  <sheetViews>
    <sheetView tabSelected="1" workbookViewId="0">
      <selection activeCell="H34" sqref="H34"/>
    </sheetView>
  </sheetViews>
  <sheetFormatPr defaultRowHeight="14.4" x14ac:dyDescent="0.3"/>
  <cols>
    <col min="1" max="1" width="46.77734375" bestFit="1" customWidth="1"/>
    <col min="2" max="2" width="14.77734375" bestFit="1" customWidth="1"/>
    <col min="3" max="3" width="23.88671875" bestFit="1" customWidth="1"/>
    <col min="4" max="4" width="14.21875" bestFit="1" customWidth="1"/>
    <col min="5" max="5" width="19.109375" bestFit="1" customWidth="1"/>
    <col min="6" max="6" width="20.109375" bestFit="1" customWidth="1"/>
    <col min="8" max="8" width="97.5546875" customWidth="1"/>
  </cols>
  <sheetData>
    <row r="2" spans="1:8" x14ac:dyDescent="0.3">
      <c r="H2" s="7" t="s">
        <v>2970</v>
      </c>
    </row>
    <row r="3" spans="1:8" x14ac:dyDescent="0.3">
      <c r="A3" s="4" t="s">
        <v>2947</v>
      </c>
      <c r="B3" t="s">
        <v>2950</v>
      </c>
      <c r="C3" t="s">
        <v>2954</v>
      </c>
      <c r="D3" t="s">
        <v>2951</v>
      </c>
      <c r="E3" t="s">
        <v>2952</v>
      </c>
      <c r="F3" t="s">
        <v>2953</v>
      </c>
      <c r="H3" s="8" t="s">
        <v>2971</v>
      </c>
    </row>
    <row r="4" spans="1:8" x14ac:dyDescent="0.3">
      <c r="A4" s="5" t="s">
        <v>695</v>
      </c>
      <c r="B4" s="6">
        <v>8864793</v>
      </c>
      <c r="C4" s="6">
        <v>0.50829999999999997</v>
      </c>
      <c r="D4" s="6">
        <v>45000</v>
      </c>
      <c r="E4" s="6">
        <v>59</v>
      </c>
      <c r="F4" s="6">
        <v>6728</v>
      </c>
      <c r="H4" s="8" t="s">
        <v>2972</v>
      </c>
    </row>
    <row r="5" spans="1:8" x14ac:dyDescent="0.3">
      <c r="A5" s="5" t="s">
        <v>2704</v>
      </c>
      <c r="B5" s="6">
        <v>6122442</v>
      </c>
      <c r="C5" s="6">
        <v>0.1686</v>
      </c>
      <c r="D5" s="6">
        <v>10000</v>
      </c>
      <c r="E5" s="6">
        <v>324</v>
      </c>
      <c r="F5" s="6">
        <v>5829</v>
      </c>
      <c r="H5" s="8" t="s">
        <v>2973</v>
      </c>
    </row>
    <row r="6" spans="1:8" x14ac:dyDescent="0.3">
      <c r="A6" s="5" t="s">
        <v>1179</v>
      </c>
      <c r="B6" s="6">
        <v>28048</v>
      </c>
      <c r="C6" s="6">
        <v>0.53480000000000005</v>
      </c>
      <c r="D6" s="6">
        <v>150</v>
      </c>
      <c r="E6" s="6">
        <v>0</v>
      </c>
      <c r="F6" s="6">
        <v>5751</v>
      </c>
      <c r="H6" s="8" t="s">
        <v>2974</v>
      </c>
    </row>
    <row r="7" spans="1:8" x14ac:dyDescent="0.3">
      <c r="A7" s="5" t="s">
        <v>1159</v>
      </c>
      <c r="B7" s="6">
        <v>2585</v>
      </c>
      <c r="C7" s="6">
        <v>0.42549999999999999</v>
      </c>
      <c r="D7" s="6">
        <v>11</v>
      </c>
      <c r="E7" s="6">
        <v>0</v>
      </c>
      <c r="F7" s="6">
        <v>4723</v>
      </c>
    </row>
    <row r="8" spans="1:8" x14ac:dyDescent="0.3">
      <c r="A8" s="5" t="s">
        <v>1217</v>
      </c>
      <c r="B8" s="6">
        <v>12195011</v>
      </c>
      <c r="C8" s="6">
        <v>1.1476</v>
      </c>
      <c r="D8" s="6">
        <v>135000</v>
      </c>
      <c r="E8" s="6">
        <v>4950</v>
      </c>
      <c r="F8" s="6">
        <v>4682</v>
      </c>
      <c r="H8" s="9" t="s">
        <v>2955</v>
      </c>
    </row>
    <row r="9" spans="1:8" x14ac:dyDescent="0.3">
      <c r="A9" s="5" t="s">
        <v>1233</v>
      </c>
      <c r="B9" s="6">
        <v>5951202</v>
      </c>
      <c r="C9" s="6">
        <v>0.68089999999999995</v>
      </c>
      <c r="D9" s="6">
        <v>39000</v>
      </c>
      <c r="E9" s="6">
        <v>1524</v>
      </c>
      <c r="F9" s="6">
        <v>4373</v>
      </c>
      <c r="H9" s="9" t="s">
        <v>2958</v>
      </c>
    </row>
    <row r="10" spans="1:8" x14ac:dyDescent="0.3">
      <c r="A10" s="5" t="s">
        <v>1175</v>
      </c>
      <c r="B10" s="6">
        <v>10849.5</v>
      </c>
      <c r="C10" s="6">
        <v>1.4567000000000001</v>
      </c>
      <c r="D10" s="6">
        <v>17</v>
      </c>
      <c r="E10" s="6">
        <v>9</v>
      </c>
      <c r="F10" s="6">
        <v>4235</v>
      </c>
      <c r="H10" s="9" t="s">
        <v>2957</v>
      </c>
    </row>
    <row r="11" spans="1:8" x14ac:dyDescent="0.3">
      <c r="A11" s="5" t="s">
        <v>1249</v>
      </c>
      <c r="B11" s="6">
        <v>168483315.5</v>
      </c>
      <c r="C11" s="6">
        <v>0.66930000000000001</v>
      </c>
      <c r="D11" s="6">
        <v>1021500</v>
      </c>
      <c r="E11" s="6">
        <v>28201.5</v>
      </c>
      <c r="F11" s="6">
        <v>4132.5</v>
      </c>
      <c r="H11" s="9" t="s">
        <v>2956</v>
      </c>
    </row>
    <row r="12" spans="1:8" x14ac:dyDescent="0.3">
      <c r="A12" s="5" t="s">
        <v>2092</v>
      </c>
      <c r="B12" s="6">
        <v>45723</v>
      </c>
      <c r="C12" s="6">
        <v>0.86170000000000002</v>
      </c>
      <c r="D12" s="6">
        <v>394</v>
      </c>
      <c r="E12" s="6">
        <v>0</v>
      </c>
      <c r="F12" s="6">
        <v>4125</v>
      </c>
      <c r="H12" s="9" t="s">
        <v>2959</v>
      </c>
    </row>
    <row r="13" spans="1:8" x14ac:dyDescent="0.3">
      <c r="A13" s="5" t="s">
        <v>1010</v>
      </c>
      <c r="B13" s="6">
        <v>3076520</v>
      </c>
      <c r="C13" s="6">
        <v>0.65010000000000001</v>
      </c>
      <c r="D13" s="6">
        <v>20000</v>
      </c>
      <c r="E13" s="6">
        <v>0</v>
      </c>
      <c r="F13" s="6">
        <v>4115</v>
      </c>
      <c r="H13" s="9" t="s">
        <v>2960</v>
      </c>
    </row>
    <row r="14" spans="1:8" x14ac:dyDescent="0.3">
      <c r="A14" s="5" t="s">
        <v>1229</v>
      </c>
      <c r="B14" s="6">
        <v>2740834</v>
      </c>
      <c r="C14" s="6">
        <v>0.53369999999999995</v>
      </c>
      <c r="D14" s="6">
        <v>14000</v>
      </c>
      <c r="E14" s="6">
        <v>629</v>
      </c>
      <c r="F14" s="6">
        <v>4066</v>
      </c>
      <c r="H14" s="9"/>
    </row>
    <row r="15" spans="1:8" x14ac:dyDescent="0.3">
      <c r="A15" s="5" t="s">
        <v>1237</v>
      </c>
      <c r="B15" s="6">
        <v>2337</v>
      </c>
      <c r="C15" s="6">
        <v>0.7702</v>
      </c>
      <c r="D15" s="6">
        <v>18</v>
      </c>
      <c r="E15" s="6">
        <v>0</v>
      </c>
      <c r="F15" s="6">
        <v>3725</v>
      </c>
      <c r="H15" s="9" t="s">
        <v>2961</v>
      </c>
    </row>
    <row r="16" spans="1:8" x14ac:dyDescent="0.3">
      <c r="A16" s="5" t="s">
        <v>1241</v>
      </c>
      <c r="B16" s="6">
        <v>98997</v>
      </c>
      <c r="C16" s="6">
        <v>0.1222</v>
      </c>
      <c r="D16" s="6">
        <v>106</v>
      </c>
      <c r="E16" s="6">
        <v>15</v>
      </c>
      <c r="F16" s="6">
        <v>3725</v>
      </c>
      <c r="H16" s="9" t="s">
        <v>2962</v>
      </c>
    </row>
    <row r="17" spans="1:8" x14ac:dyDescent="0.3">
      <c r="A17" s="5" t="s">
        <v>1043</v>
      </c>
      <c r="B17" s="6">
        <v>11290</v>
      </c>
      <c r="C17" s="6">
        <v>0.8024</v>
      </c>
      <c r="D17" s="6">
        <v>80</v>
      </c>
      <c r="E17" s="6">
        <v>7.5</v>
      </c>
      <c r="F17" s="6">
        <v>3680.5</v>
      </c>
      <c r="H17" s="9" t="s">
        <v>2963</v>
      </c>
    </row>
    <row r="18" spans="1:8" x14ac:dyDescent="0.3">
      <c r="A18" s="5" t="s">
        <v>412</v>
      </c>
      <c r="B18" s="6">
        <v>798886.22222222225</v>
      </c>
      <c r="C18" s="6">
        <v>3.3786999999999998</v>
      </c>
      <c r="D18" s="6">
        <v>22331.666666666668</v>
      </c>
      <c r="E18" s="6">
        <v>527.44444444444446</v>
      </c>
      <c r="F18" s="6">
        <v>3620.1111111111113</v>
      </c>
      <c r="H18" s="9"/>
    </row>
    <row r="19" spans="1:8" x14ac:dyDescent="0.3">
      <c r="A19" s="5" t="s">
        <v>1206</v>
      </c>
      <c r="B19" s="6">
        <v>642267</v>
      </c>
      <c r="C19" s="6">
        <v>0.24909999999999999</v>
      </c>
      <c r="D19" s="6">
        <v>1600</v>
      </c>
      <c r="E19" s="6">
        <v>0</v>
      </c>
      <c r="F19" s="6">
        <v>2986</v>
      </c>
      <c r="H19" s="9" t="s">
        <v>2964</v>
      </c>
    </row>
    <row r="20" spans="1:8" x14ac:dyDescent="0.3">
      <c r="A20" s="5" t="s">
        <v>2032</v>
      </c>
      <c r="B20" s="6">
        <v>346782</v>
      </c>
      <c r="C20" s="6">
        <v>0.26440000000000002</v>
      </c>
      <c r="D20" s="6">
        <v>909</v>
      </c>
      <c r="E20" s="6">
        <v>8</v>
      </c>
      <c r="F20" s="6">
        <v>2903</v>
      </c>
      <c r="H20" s="9" t="s">
        <v>2965</v>
      </c>
    </row>
    <row r="21" spans="1:8" x14ac:dyDescent="0.3">
      <c r="A21" s="5" t="s">
        <v>1225</v>
      </c>
      <c r="B21" s="6">
        <v>531505</v>
      </c>
      <c r="C21" s="6">
        <v>0.48130000000000001</v>
      </c>
      <c r="D21" s="6">
        <v>2500</v>
      </c>
      <c r="E21" s="6">
        <v>58</v>
      </c>
      <c r="F21" s="6">
        <v>2865</v>
      </c>
      <c r="H21" s="9" t="s">
        <v>2966</v>
      </c>
    </row>
    <row r="22" spans="1:8" x14ac:dyDescent="0.3">
      <c r="A22" s="5" t="s">
        <v>1260</v>
      </c>
      <c r="B22" s="6">
        <v>53038527</v>
      </c>
      <c r="C22" s="6">
        <v>6.9599999999999995E-2</v>
      </c>
      <c r="D22" s="6">
        <v>35000</v>
      </c>
      <c r="E22" s="6">
        <v>1918</v>
      </c>
      <c r="F22" s="6">
        <v>2855</v>
      </c>
      <c r="H22" s="9"/>
    </row>
    <row r="23" spans="1:8" x14ac:dyDescent="0.3">
      <c r="A23" s="5" t="s">
        <v>1221</v>
      </c>
      <c r="B23" s="6">
        <v>19381144</v>
      </c>
      <c r="C23" s="6">
        <v>7.3300000000000004E-2</v>
      </c>
      <c r="D23" s="6">
        <v>14000</v>
      </c>
      <c r="E23" s="6">
        <v>213</v>
      </c>
      <c r="F23" s="6">
        <v>2702</v>
      </c>
      <c r="H23" s="9" t="s">
        <v>2967</v>
      </c>
    </row>
    <row r="24" spans="1:8" x14ac:dyDescent="0.3">
      <c r="A24" s="5" t="s">
        <v>1253</v>
      </c>
      <c r="B24" s="6">
        <v>33454493</v>
      </c>
      <c r="C24" s="6">
        <v>0.80549999999999999</v>
      </c>
      <c r="D24" s="6">
        <v>258000</v>
      </c>
      <c r="E24" s="6">
        <v>11490</v>
      </c>
      <c r="F24" s="6">
        <v>2636</v>
      </c>
      <c r="H24" s="9" t="s">
        <v>2968</v>
      </c>
    </row>
    <row r="25" spans="1:8" x14ac:dyDescent="0.3">
      <c r="A25" s="5" t="s">
        <v>204</v>
      </c>
      <c r="B25" s="6">
        <v>117684083</v>
      </c>
      <c r="C25" s="6">
        <v>0.2218</v>
      </c>
      <c r="D25" s="6">
        <v>261000</v>
      </c>
      <c r="E25" s="6">
        <v>0</v>
      </c>
      <c r="F25" s="6">
        <v>1987</v>
      </c>
      <c r="H25" s="9" t="s">
        <v>2969</v>
      </c>
    </row>
    <row r="26" spans="1:8" x14ac:dyDescent="0.3">
      <c r="A26" s="5" t="s">
        <v>1326</v>
      </c>
      <c r="B26" s="6">
        <v>51579601</v>
      </c>
      <c r="C26" s="6">
        <v>0.41099999999999998</v>
      </c>
      <c r="D26" s="6">
        <v>212000</v>
      </c>
      <c r="E26" s="6">
        <v>0</v>
      </c>
      <c r="F26" s="6">
        <v>1987</v>
      </c>
    </row>
    <row r="27" spans="1:8" x14ac:dyDescent="0.3">
      <c r="A27" s="5" t="s">
        <v>2021</v>
      </c>
      <c r="B27" s="6">
        <v>16975107</v>
      </c>
      <c r="C27" s="6">
        <v>4.9142000000000001</v>
      </c>
      <c r="D27" s="6">
        <v>831000</v>
      </c>
      <c r="E27" s="6">
        <v>3194</v>
      </c>
      <c r="F27" s="6">
        <v>1828</v>
      </c>
      <c r="H27" s="12" t="s">
        <v>2975</v>
      </c>
    </row>
    <row r="28" spans="1:8" x14ac:dyDescent="0.3">
      <c r="A28" s="5" t="s">
        <v>2686</v>
      </c>
      <c r="B28" s="6">
        <v>529904691</v>
      </c>
      <c r="C28" s="6">
        <v>1.1597</v>
      </c>
      <c r="D28" s="6">
        <v>6100000</v>
      </c>
      <c r="E28" s="6">
        <v>45071</v>
      </c>
      <c r="F28" s="6">
        <v>1744</v>
      </c>
      <c r="H28" s="11">
        <f>CORREL(C:C,F:F)</f>
        <v>-0.16375877329270683</v>
      </c>
    </row>
    <row r="29" spans="1:8" x14ac:dyDescent="0.3">
      <c r="A29" s="5" t="s">
        <v>154</v>
      </c>
      <c r="B29" s="6">
        <v>69879126</v>
      </c>
      <c r="C29" s="6">
        <v>0.75900000000000001</v>
      </c>
      <c r="D29" s="6">
        <v>529000</v>
      </c>
      <c r="E29" s="6">
        <v>1417</v>
      </c>
      <c r="F29" s="6">
        <v>1637</v>
      </c>
      <c r="H29" s="10" t="s">
        <v>2976</v>
      </c>
    </row>
    <row r="30" spans="1:8" x14ac:dyDescent="0.3">
      <c r="A30" s="5" t="s">
        <v>234</v>
      </c>
      <c r="B30" s="6">
        <v>8716351</v>
      </c>
      <c r="C30" s="6">
        <v>2.2722000000000002</v>
      </c>
      <c r="D30" s="6">
        <v>191000</v>
      </c>
      <c r="E30" s="6">
        <v>7055</v>
      </c>
      <c r="F30" s="6">
        <v>1635</v>
      </c>
      <c r="H30" s="10" t="s">
        <v>2977</v>
      </c>
    </row>
    <row r="31" spans="1:8" x14ac:dyDescent="0.3">
      <c r="A31" s="5" t="s">
        <v>110</v>
      </c>
      <c r="B31" s="6">
        <v>42271640</v>
      </c>
      <c r="C31" s="6">
        <v>1.2989999999999999</v>
      </c>
      <c r="D31" s="6">
        <v>548000</v>
      </c>
      <c r="E31" s="6">
        <v>1099</v>
      </c>
      <c r="F31" s="6">
        <v>1608</v>
      </c>
      <c r="H31" s="10" t="s">
        <v>2978</v>
      </c>
    </row>
    <row r="32" spans="1:8" x14ac:dyDescent="0.3">
      <c r="A32" s="5" t="s">
        <v>1752</v>
      </c>
      <c r="B32" s="6">
        <v>115418817</v>
      </c>
      <c r="C32" s="6">
        <v>1.823</v>
      </c>
      <c r="D32" s="6">
        <v>2100000</v>
      </c>
      <c r="E32" s="6">
        <v>4098</v>
      </c>
      <c r="F32" s="6">
        <v>1601</v>
      </c>
      <c r="H32" s="10" t="s">
        <v>2979</v>
      </c>
    </row>
    <row r="33" spans="1:6" x14ac:dyDescent="0.3">
      <c r="A33" s="5" t="s">
        <v>2795</v>
      </c>
      <c r="B33" s="6">
        <v>250657790</v>
      </c>
      <c r="C33" s="6">
        <v>0</v>
      </c>
      <c r="D33" s="6">
        <v>0</v>
      </c>
      <c r="E33" s="6">
        <v>0</v>
      </c>
      <c r="F33" s="6">
        <v>1578</v>
      </c>
    </row>
    <row r="34" spans="1:6" x14ac:dyDescent="0.3">
      <c r="A34" s="5" t="s">
        <v>2526</v>
      </c>
      <c r="B34" s="6">
        <v>67795388</v>
      </c>
      <c r="C34" s="6">
        <v>1.77</v>
      </c>
      <c r="D34" s="6">
        <v>1200000</v>
      </c>
      <c r="E34" s="6">
        <v>0</v>
      </c>
      <c r="F34" s="6">
        <v>1550</v>
      </c>
    </row>
    <row r="35" spans="1:6" x14ac:dyDescent="0.3">
      <c r="A35" s="5" t="s">
        <v>2782</v>
      </c>
      <c r="B35" s="6">
        <v>13068189</v>
      </c>
      <c r="C35" s="6">
        <v>1.3759999999999999</v>
      </c>
      <c r="D35" s="6">
        <v>177000</v>
      </c>
      <c r="E35" s="6">
        <v>2812</v>
      </c>
      <c r="F35" s="6">
        <v>1542</v>
      </c>
    </row>
    <row r="36" spans="1:6" x14ac:dyDescent="0.3">
      <c r="A36" s="5" t="s">
        <v>246</v>
      </c>
      <c r="B36" s="6">
        <v>12011471</v>
      </c>
      <c r="C36" s="6">
        <v>1.1299999999999999E-2</v>
      </c>
      <c r="D36" s="6">
        <v>1300</v>
      </c>
      <c r="E36" s="6">
        <v>52</v>
      </c>
      <c r="F36" s="6">
        <v>1511</v>
      </c>
    </row>
    <row r="37" spans="1:6" x14ac:dyDescent="0.3">
      <c r="A37" s="5" t="s">
        <v>1960</v>
      </c>
      <c r="B37" s="6">
        <v>102647848</v>
      </c>
      <c r="C37" s="6">
        <v>5.3974000000000002</v>
      </c>
      <c r="D37" s="6">
        <v>5500000</v>
      </c>
      <c r="E37" s="6">
        <v>40309</v>
      </c>
      <c r="F37" s="6">
        <v>1467</v>
      </c>
    </row>
    <row r="38" spans="1:6" x14ac:dyDescent="0.3">
      <c r="A38" s="5" t="s">
        <v>882</v>
      </c>
      <c r="B38" s="6">
        <v>724866455</v>
      </c>
      <c r="C38" s="6">
        <v>0.2364</v>
      </c>
      <c r="D38" s="6">
        <v>1700000</v>
      </c>
      <c r="E38" s="6">
        <v>13879</v>
      </c>
      <c r="F38" s="6">
        <v>1447</v>
      </c>
    </row>
    <row r="39" spans="1:6" x14ac:dyDescent="0.3">
      <c r="A39" s="5" t="s">
        <v>1822</v>
      </c>
      <c r="B39" s="6">
        <v>53746730</v>
      </c>
      <c r="C39" s="6">
        <v>6.5450999999999997</v>
      </c>
      <c r="D39" s="6">
        <v>3200000</v>
      </c>
      <c r="E39" s="6">
        <v>317800</v>
      </c>
      <c r="F39" s="6">
        <v>1334</v>
      </c>
    </row>
    <row r="40" spans="1:6" x14ac:dyDescent="0.3">
      <c r="A40" s="5" t="s">
        <v>138</v>
      </c>
      <c r="B40" s="6">
        <v>190515002</v>
      </c>
      <c r="C40" s="6">
        <v>0.84499999999999997</v>
      </c>
      <c r="D40" s="6">
        <v>1600000</v>
      </c>
      <c r="E40" s="6">
        <v>9872</v>
      </c>
      <c r="F40" s="6">
        <v>1318</v>
      </c>
    </row>
    <row r="41" spans="1:6" x14ac:dyDescent="0.3">
      <c r="A41" s="5" t="s">
        <v>1141</v>
      </c>
      <c r="B41" s="6">
        <v>70213787</v>
      </c>
      <c r="C41" s="6">
        <v>0.30780000000000002</v>
      </c>
      <c r="D41" s="6">
        <v>215000</v>
      </c>
      <c r="E41" s="6">
        <v>1139</v>
      </c>
      <c r="F41" s="6">
        <v>1308</v>
      </c>
    </row>
    <row r="42" spans="1:6" x14ac:dyDescent="0.3">
      <c r="A42" s="5" t="s">
        <v>98</v>
      </c>
      <c r="B42" s="6">
        <v>88608345</v>
      </c>
      <c r="C42" s="6">
        <v>1.1900000000000001E-2</v>
      </c>
      <c r="D42" s="6">
        <v>0</v>
      </c>
      <c r="E42" s="6">
        <v>10524</v>
      </c>
      <c r="F42" s="6">
        <v>1289</v>
      </c>
    </row>
    <row r="43" spans="1:6" x14ac:dyDescent="0.3">
      <c r="A43" s="5" t="s">
        <v>2418</v>
      </c>
      <c r="B43" s="6">
        <v>175719025</v>
      </c>
      <c r="C43" s="6">
        <v>3.0999999999999999E-3</v>
      </c>
      <c r="D43" s="6">
        <v>0</v>
      </c>
      <c r="E43" s="6">
        <v>5523</v>
      </c>
      <c r="F43" s="6">
        <v>1235</v>
      </c>
    </row>
    <row r="44" spans="1:6" x14ac:dyDescent="0.3">
      <c r="A44" s="5" t="s">
        <v>911</v>
      </c>
      <c r="B44" s="6">
        <v>4044150</v>
      </c>
      <c r="C44" s="6">
        <v>0.19839999999999999</v>
      </c>
      <c r="D44" s="6">
        <v>7900</v>
      </c>
      <c r="E44" s="6">
        <v>123</v>
      </c>
      <c r="F44" s="6">
        <v>1233</v>
      </c>
    </row>
    <row r="45" spans="1:6" x14ac:dyDescent="0.3">
      <c r="A45" s="5" t="s">
        <v>2007</v>
      </c>
      <c r="B45" s="6">
        <v>114545737</v>
      </c>
      <c r="C45" s="6">
        <v>1.3104</v>
      </c>
      <c r="D45" s="6">
        <v>1500000</v>
      </c>
      <c r="E45" s="6">
        <v>1059</v>
      </c>
      <c r="F45" s="6">
        <v>1228</v>
      </c>
    </row>
    <row r="46" spans="1:6" x14ac:dyDescent="0.3">
      <c r="A46" s="5" t="s">
        <v>78</v>
      </c>
      <c r="B46" s="6">
        <v>28277306</v>
      </c>
      <c r="C46" s="6">
        <v>6.4027000000000003</v>
      </c>
      <c r="D46" s="6">
        <v>1800000</v>
      </c>
      <c r="E46" s="6">
        <v>10508</v>
      </c>
      <c r="F46" s="6">
        <v>1214</v>
      </c>
    </row>
    <row r="47" spans="1:6" x14ac:dyDescent="0.3">
      <c r="A47" s="5" t="s">
        <v>1264</v>
      </c>
      <c r="B47" s="6">
        <v>12224509</v>
      </c>
      <c r="C47" s="6">
        <v>0.27810000000000001</v>
      </c>
      <c r="D47" s="6">
        <v>34000</v>
      </c>
      <c r="E47" s="6">
        <v>0</v>
      </c>
      <c r="F47" s="6">
        <v>1206</v>
      </c>
    </row>
    <row r="48" spans="1:6" x14ac:dyDescent="0.3">
      <c r="A48" s="5" t="s">
        <v>1586</v>
      </c>
      <c r="B48" s="6">
        <v>257913828</v>
      </c>
      <c r="C48" s="6">
        <v>1.4384999999999999</v>
      </c>
      <c r="D48" s="6">
        <v>3700000</v>
      </c>
      <c r="E48" s="6">
        <v>10120</v>
      </c>
      <c r="F48" s="6">
        <v>1167</v>
      </c>
    </row>
    <row r="49" spans="1:6" x14ac:dyDescent="0.3">
      <c r="A49" s="5" t="s">
        <v>949</v>
      </c>
      <c r="B49" s="6">
        <v>33791641</v>
      </c>
      <c r="C49" s="6">
        <v>1.0244</v>
      </c>
      <c r="D49" s="6">
        <v>345000</v>
      </c>
      <c r="E49" s="6">
        <v>1155</v>
      </c>
      <c r="F49" s="6">
        <v>1139</v>
      </c>
    </row>
    <row r="50" spans="1:6" x14ac:dyDescent="0.3">
      <c r="A50" s="5" t="s">
        <v>2171</v>
      </c>
      <c r="B50" s="6">
        <v>321177201</v>
      </c>
      <c r="C50" s="6">
        <v>0.77969999999999995</v>
      </c>
      <c r="D50" s="6">
        <v>2500000</v>
      </c>
      <c r="E50" s="6">
        <v>4270</v>
      </c>
      <c r="F50" s="6">
        <v>1121</v>
      </c>
    </row>
    <row r="51" spans="1:6" x14ac:dyDescent="0.3">
      <c r="A51" s="5" t="s">
        <v>1913</v>
      </c>
      <c r="B51" s="6">
        <v>274839347</v>
      </c>
      <c r="C51" s="6">
        <v>0.80559999999999998</v>
      </c>
      <c r="D51" s="6">
        <v>2200000</v>
      </c>
      <c r="E51" s="6">
        <v>14206</v>
      </c>
      <c r="F51" s="6">
        <v>1113</v>
      </c>
    </row>
    <row r="52" spans="1:6" x14ac:dyDescent="0.3">
      <c r="A52" s="5" t="s">
        <v>1073</v>
      </c>
      <c r="B52" s="6">
        <v>1830800</v>
      </c>
      <c r="C52" s="6">
        <v>1.6331</v>
      </c>
      <c r="D52" s="6">
        <v>29000</v>
      </c>
      <c r="E52" s="6">
        <v>898</v>
      </c>
      <c r="F52" s="6">
        <v>1106</v>
      </c>
    </row>
    <row r="53" spans="1:6" x14ac:dyDescent="0.3">
      <c r="A53" s="5" t="s">
        <v>1031</v>
      </c>
      <c r="B53" s="6">
        <v>1262062063</v>
      </c>
      <c r="C53" s="6">
        <v>0.95079999999999998</v>
      </c>
      <c r="D53" s="6">
        <v>12000000</v>
      </c>
      <c r="E53" s="6">
        <v>0</v>
      </c>
      <c r="F53" s="6">
        <v>1081</v>
      </c>
    </row>
    <row r="54" spans="1:6" x14ac:dyDescent="0.3">
      <c r="A54" s="5" t="s">
        <v>161</v>
      </c>
      <c r="B54" s="6">
        <v>148238946</v>
      </c>
      <c r="C54" s="6">
        <v>1.5947</v>
      </c>
      <c r="D54" s="6">
        <v>2350000</v>
      </c>
      <c r="E54" s="6">
        <v>5705</v>
      </c>
      <c r="F54" s="6">
        <v>1074.5</v>
      </c>
    </row>
    <row r="55" spans="1:6" x14ac:dyDescent="0.3">
      <c r="A55" s="5" t="s">
        <v>258</v>
      </c>
      <c r="B55" s="6">
        <v>12358071</v>
      </c>
      <c r="C55" s="6">
        <v>0.1376</v>
      </c>
      <c r="D55" s="6">
        <v>17000</v>
      </c>
      <c r="E55" s="6">
        <v>0</v>
      </c>
      <c r="F55" s="6">
        <v>1060</v>
      </c>
    </row>
    <row r="56" spans="1:6" x14ac:dyDescent="0.3">
      <c r="A56" s="5" t="s">
        <v>114</v>
      </c>
      <c r="B56" s="6">
        <v>77183384</v>
      </c>
      <c r="C56" s="6">
        <v>5.2266000000000004</v>
      </c>
      <c r="D56" s="6">
        <v>1962000</v>
      </c>
      <c r="E56" s="6">
        <v>14170</v>
      </c>
      <c r="F56" s="6">
        <v>1054.3333333333333</v>
      </c>
    </row>
    <row r="57" spans="1:6" x14ac:dyDescent="0.3">
      <c r="A57" s="5" t="s">
        <v>1518</v>
      </c>
      <c r="B57" s="6">
        <v>18439910</v>
      </c>
      <c r="C57" s="6">
        <v>0.2495</v>
      </c>
      <c r="D57" s="6">
        <v>46000</v>
      </c>
      <c r="E57" s="6">
        <v>0</v>
      </c>
      <c r="F57" s="6">
        <v>1040</v>
      </c>
    </row>
    <row r="58" spans="1:6" x14ac:dyDescent="0.3">
      <c r="A58" s="5" t="s">
        <v>926</v>
      </c>
      <c r="B58" s="6">
        <v>1475650</v>
      </c>
      <c r="C58" s="6">
        <v>2.0821000000000001</v>
      </c>
      <c r="D58" s="6">
        <v>27000</v>
      </c>
      <c r="E58" s="6">
        <v>3725</v>
      </c>
      <c r="F58" s="6">
        <v>1009</v>
      </c>
    </row>
    <row r="59" spans="1:6" x14ac:dyDescent="0.3">
      <c r="A59" s="5" t="s">
        <v>977</v>
      </c>
      <c r="B59" s="6">
        <v>231507368</v>
      </c>
      <c r="C59" s="6">
        <v>1.8142</v>
      </c>
      <c r="D59" s="6">
        <v>4200000</v>
      </c>
      <c r="E59" s="6">
        <v>0</v>
      </c>
      <c r="F59" s="6">
        <v>1007</v>
      </c>
    </row>
    <row r="60" spans="1:6" x14ac:dyDescent="0.3">
      <c r="A60" s="5" t="s">
        <v>1774</v>
      </c>
      <c r="B60" s="6">
        <v>46461589</v>
      </c>
      <c r="C60" s="6">
        <v>1.7003999999999999</v>
      </c>
      <c r="D60" s="6">
        <v>789000</v>
      </c>
      <c r="E60" s="6">
        <v>1015</v>
      </c>
      <c r="F60" s="6">
        <v>997</v>
      </c>
    </row>
    <row r="61" spans="1:6" x14ac:dyDescent="0.3">
      <c r="A61" s="5" t="s">
        <v>2376</v>
      </c>
      <c r="B61" s="6">
        <v>36989730</v>
      </c>
      <c r="C61" s="6">
        <v>6.9999999999999999E-4</v>
      </c>
      <c r="D61" s="6">
        <v>0</v>
      </c>
      <c r="E61" s="6">
        <v>259</v>
      </c>
      <c r="F61" s="6">
        <v>995</v>
      </c>
    </row>
    <row r="62" spans="1:6" x14ac:dyDescent="0.3">
      <c r="A62" s="5" t="s">
        <v>2598</v>
      </c>
      <c r="B62" s="6">
        <v>3067529</v>
      </c>
      <c r="C62" s="6">
        <v>0.86099999999999999</v>
      </c>
      <c r="D62" s="6">
        <v>26000</v>
      </c>
      <c r="E62" s="6">
        <v>410</v>
      </c>
      <c r="F62" s="6">
        <v>994</v>
      </c>
    </row>
    <row r="63" spans="1:6" x14ac:dyDescent="0.3">
      <c r="A63" s="5" t="s">
        <v>2494</v>
      </c>
      <c r="B63" s="6">
        <v>1699376</v>
      </c>
      <c r="C63" s="6">
        <v>3.1825000000000001</v>
      </c>
      <c r="D63" s="6">
        <v>54000</v>
      </c>
      <c r="E63" s="6">
        <v>82</v>
      </c>
      <c r="F63" s="6">
        <v>993</v>
      </c>
    </row>
    <row r="64" spans="1:6" x14ac:dyDescent="0.3">
      <c r="A64" s="5" t="s">
        <v>25</v>
      </c>
      <c r="B64" s="6">
        <v>1778131</v>
      </c>
      <c r="C64" s="6">
        <v>1.5330999999999999</v>
      </c>
      <c r="D64" s="6">
        <v>25000</v>
      </c>
      <c r="E64" s="6">
        <v>2261</v>
      </c>
      <c r="F64" s="6">
        <v>989</v>
      </c>
    </row>
    <row r="65" spans="1:6" x14ac:dyDescent="0.3">
      <c r="A65" s="5" t="s">
        <v>488</v>
      </c>
      <c r="B65" s="6">
        <v>44223068</v>
      </c>
      <c r="C65" s="6">
        <v>2.5398000000000001</v>
      </c>
      <c r="D65" s="6">
        <v>1100000</v>
      </c>
      <c r="E65" s="6">
        <v>23184</v>
      </c>
      <c r="F65" s="6">
        <v>988</v>
      </c>
    </row>
    <row r="66" spans="1:6" x14ac:dyDescent="0.3">
      <c r="A66" s="5" t="s">
        <v>618</v>
      </c>
      <c r="B66" s="6">
        <v>17213047</v>
      </c>
      <c r="C66" s="6">
        <v>3.0991</v>
      </c>
      <c r="D66" s="6">
        <v>522000</v>
      </c>
      <c r="E66" s="6">
        <v>11445</v>
      </c>
      <c r="F66" s="6">
        <v>980</v>
      </c>
    </row>
    <row r="67" spans="1:6" x14ac:dyDescent="0.3">
      <c r="A67" s="5" t="s">
        <v>2280</v>
      </c>
      <c r="B67" s="6">
        <v>7425503.333333333</v>
      </c>
      <c r="C67" s="6">
        <v>3.7576000000000001</v>
      </c>
      <c r="D67" s="6">
        <v>208000</v>
      </c>
      <c r="E67" s="6">
        <v>822</v>
      </c>
      <c r="F67" s="6">
        <v>937.66666666666663</v>
      </c>
    </row>
    <row r="68" spans="1:6" x14ac:dyDescent="0.3">
      <c r="A68" s="5" t="s">
        <v>1300</v>
      </c>
      <c r="B68" s="6">
        <v>111816418</v>
      </c>
      <c r="C68" s="6">
        <v>1.1778999999999999</v>
      </c>
      <c r="D68" s="6">
        <v>1300000</v>
      </c>
      <c r="E68" s="6">
        <v>17103</v>
      </c>
      <c r="F68" s="6">
        <v>912</v>
      </c>
    </row>
    <row r="69" spans="1:6" x14ac:dyDescent="0.3">
      <c r="A69" s="5" t="s">
        <v>2803</v>
      </c>
      <c r="B69" s="6">
        <v>255382</v>
      </c>
      <c r="C69" s="6">
        <v>4.6528999999999998</v>
      </c>
      <c r="D69" s="6">
        <v>8860</v>
      </c>
      <c r="E69" s="6">
        <v>7.6</v>
      </c>
      <c r="F69" s="6">
        <v>907.8</v>
      </c>
    </row>
    <row r="70" spans="1:6" x14ac:dyDescent="0.3">
      <c r="A70" s="5" t="s">
        <v>915</v>
      </c>
      <c r="B70" s="6">
        <v>19218556</v>
      </c>
      <c r="C70" s="6">
        <v>0.3644</v>
      </c>
      <c r="D70" s="6">
        <v>67000</v>
      </c>
      <c r="E70" s="6">
        <v>3026</v>
      </c>
      <c r="F70" s="6">
        <v>906</v>
      </c>
    </row>
    <row r="71" spans="1:6" x14ac:dyDescent="0.3">
      <c r="A71" s="5" t="s">
        <v>2641</v>
      </c>
      <c r="B71" s="6">
        <v>95592345.5</v>
      </c>
      <c r="C71" s="6">
        <v>1.0409999999999999</v>
      </c>
      <c r="D71" s="6">
        <v>928000</v>
      </c>
      <c r="E71" s="6">
        <v>651</v>
      </c>
      <c r="F71" s="6">
        <v>891.5</v>
      </c>
    </row>
    <row r="72" spans="1:6" x14ac:dyDescent="0.3">
      <c r="A72" s="5" t="s">
        <v>1351</v>
      </c>
      <c r="B72" s="6">
        <v>40671298</v>
      </c>
      <c r="C72" s="6">
        <v>1.3764000000000001</v>
      </c>
      <c r="D72" s="6">
        <v>559000</v>
      </c>
      <c r="E72" s="6">
        <v>790</v>
      </c>
      <c r="F72" s="6">
        <v>885</v>
      </c>
    </row>
    <row r="73" spans="1:6" x14ac:dyDescent="0.3">
      <c r="A73" s="5" t="s">
        <v>1116</v>
      </c>
      <c r="B73" s="6">
        <v>5632873</v>
      </c>
      <c r="C73" s="6">
        <v>0.1462</v>
      </c>
      <c r="D73" s="6">
        <v>8200</v>
      </c>
      <c r="E73" s="6">
        <v>37</v>
      </c>
      <c r="F73" s="6">
        <v>884</v>
      </c>
    </row>
    <row r="74" spans="1:6" x14ac:dyDescent="0.3">
      <c r="A74" s="5" t="s">
        <v>1163</v>
      </c>
      <c r="B74" s="6">
        <v>41322</v>
      </c>
      <c r="C74" s="6">
        <v>0.75929999999999997</v>
      </c>
      <c r="D74" s="6">
        <v>253.5</v>
      </c>
      <c r="E74" s="6">
        <v>2.5</v>
      </c>
      <c r="F74" s="6">
        <v>879.5</v>
      </c>
    </row>
    <row r="75" spans="1:6" x14ac:dyDescent="0.3">
      <c r="A75" s="5" t="s">
        <v>934</v>
      </c>
      <c r="B75" s="6">
        <v>2138155337</v>
      </c>
      <c r="C75" s="6">
        <v>1.0288999999999999</v>
      </c>
      <c r="D75" s="6">
        <v>22000000</v>
      </c>
      <c r="E75" s="6">
        <v>0</v>
      </c>
      <c r="F75" s="6">
        <v>877</v>
      </c>
    </row>
    <row r="76" spans="1:6" x14ac:dyDescent="0.3">
      <c r="A76" s="5" t="s">
        <v>889</v>
      </c>
      <c r="B76" s="6">
        <v>267925</v>
      </c>
      <c r="C76" s="6">
        <v>1.0719000000000001</v>
      </c>
      <c r="D76" s="6">
        <v>2800</v>
      </c>
      <c r="E76" s="6">
        <v>72</v>
      </c>
      <c r="F76" s="6">
        <v>873</v>
      </c>
    </row>
    <row r="77" spans="1:6" x14ac:dyDescent="0.3">
      <c r="A77" s="5" t="s">
        <v>622</v>
      </c>
      <c r="B77" s="6">
        <v>126948313.5</v>
      </c>
      <c r="C77" s="6">
        <v>0.32579999999999998</v>
      </c>
      <c r="D77" s="6">
        <v>337500</v>
      </c>
      <c r="E77" s="6">
        <v>0</v>
      </c>
      <c r="F77" s="6">
        <v>856</v>
      </c>
    </row>
    <row r="78" spans="1:6" x14ac:dyDescent="0.3">
      <c r="A78" s="5" t="s">
        <v>2775</v>
      </c>
      <c r="B78" s="6">
        <v>18549138</v>
      </c>
      <c r="C78" s="6">
        <v>0.93840000000000001</v>
      </c>
      <c r="D78" s="6">
        <v>174000</v>
      </c>
      <c r="E78" s="6">
        <v>57</v>
      </c>
      <c r="F78" s="6">
        <v>831</v>
      </c>
    </row>
    <row r="79" spans="1:6" x14ac:dyDescent="0.3">
      <c r="A79" s="5" t="s">
        <v>2080</v>
      </c>
      <c r="B79" s="6">
        <v>253942754</v>
      </c>
      <c r="C79" s="6">
        <v>1.6557999999999999</v>
      </c>
      <c r="D79" s="6">
        <v>4200000</v>
      </c>
      <c r="E79" s="6">
        <v>4791</v>
      </c>
      <c r="F79" s="6">
        <v>821</v>
      </c>
    </row>
    <row r="80" spans="1:6" x14ac:dyDescent="0.3">
      <c r="A80" s="5" t="s">
        <v>2487</v>
      </c>
      <c r="B80" s="6">
        <v>22524988</v>
      </c>
      <c r="C80" s="6">
        <v>4.0867000000000004</v>
      </c>
      <c r="D80" s="6">
        <v>918000</v>
      </c>
      <c r="E80" s="6">
        <v>2531</v>
      </c>
      <c r="F80" s="6">
        <v>813</v>
      </c>
    </row>
    <row r="81" spans="1:6" x14ac:dyDescent="0.3">
      <c r="A81" s="5" t="s">
        <v>1096</v>
      </c>
      <c r="B81" s="6">
        <v>26801023</v>
      </c>
      <c r="C81" s="6">
        <v>1.7524999999999999</v>
      </c>
      <c r="D81" s="6">
        <v>297250</v>
      </c>
      <c r="E81" s="6">
        <v>12100.5</v>
      </c>
      <c r="F81" s="6">
        <v>796</v>
      </c>
    </row>
    <row r="82" spans="1:6" x14ac:dyDescent="0.3">
      <c r="A82" s="5" t="s">
        <v>582</v>
      </c>
      <c r="B82" s="6">
        <v>127156155</v>
      </c>
      <c r="C82" s="6">
        <v>0.23519999999999999</v>
      </c>
      <c r="D82" s="6">
        <v>297000</v>
      </c>
      <c r="E82" s="6">
        <v>2076</v>
      </c>
      <c r="F82" s="6">
        <v>796</v>
      </c>
    </row>
    <row r="83" spans="1:6" x14ac:dyDescent="0.3">
      <c r="A83" s="5" t="s">
        <v>364</v>
      </c>
      <c r="B83" s="6">
        <v>10461231.5</v>
      </c>
      <c r="C83" s="6">
        <v>0.28370000000000001</v>
      </c>
      <c r="D83" s="6">
        <v>29000</v>
      </c>
      <c r="E83" s="6">
        <v>319.5</v>
      </c>
      <c r="F83" s="6">
        <v>792.5</v>
      </c>
    </row>
    <row r="84" spans="1:6" x14ac:dyDescent="0.3">
      <c r="A84" s="5" t="s">
        <v>994</v>
      </c>
      <c r="B84" s="6">
        <v>568885082</v>
      </c>
      <c r="C84" s="6">
        <v>2.1196000000000002</v>
      </c>
      <c r="D84" s="6">
        <v>12000000</v>
      </c>
      <c r="E84" s="6">
        <v>58089</v>
      </c>
      <c r="F84" s="6">
        <v>778</v>
      </c>
    </row>
    <row r="85" spans="1:6" x14ac:dyDescent="0.3">
      <c r="A85" s="5" t="s">
        <v>2272</v>
      </c>
      <c r="B85" s="6">
        <v>50956230</v>
      </c>
      <c r="C85" s="6">
        <v>1.9844999999999999</v>
      </c>
      <c r="D85" s="6">
        <v>1000000</v>
      </c>
      <c r="E85" s="6">
        <v>11232</v>
      </c>
      <c r="F85" s="6">
        <v>768</v>
      </c>
    </row>
    <row r="86" spans="1:6" x14ac:dyDescent="0.3">
      <c r="A86" s="5" t="s">
        <v>1741</v>
      </c>
      <c r="B86" s="6">
        <v>26532884</v>
      </c>
      <c r="C86" s="6">
        <v>0.63519999999999999</v>
      </c>
      <c r="D86" s="6">
        <v>167000</v>
      </c>
      <c r="E86" s="6">
        <v>1538</v>
      </c>
      <c r="F86" s="6">
        <v>758</v>
      </c>
    </row>
    <row r="87" spans="1:6" x14ac:dyDescent="0.3">
      <c r="A87" s="5" t="s">
        <v>930</v>
      </c>
      <c r="B87" s="6">
        <v>236304113</v>
      </c>
      <c r="C87" s="6">
        <v>1.0234000000000001</v>
      </c>
      <c r="D87" s="6">
        <v>2400000</v>
      </c>
      <c r="E87" s="6">
        <v>18259</v>
      </c>
      <c r="F87" s="6">
        <v>755</v>
      </c>
    </row>
    <row r="88" spans="1:6" x14ac:dyDescent="0.3">
      <c r="A88" s="5" t="s">
        <v>2096</v>
      </c>
      <c r="B88" s="6">
        <v>296332425</v>
      </c>
      <c r="C88" s="6">
        <v>0.60880000000000001</v>
      </c>
      <c r="D88" s="6">
        <v>1800000</v>
      </c>
      <c r="E88" s="6">
        <v>4152</v>
      </c>
      <c r="F88" s="6">
        <v>738</v>
      </c>
    </row>
    <row r="89" spans="1:6" x14ac:dyDescent="0.3">
      <c r="A89" s="5" t="s">
        <v>2580</v>
      </c>
      <c r="B89" s="6">
        <v>2422154</v>
      </c>
      <c r="C89" s="6">
        <v>1.7092000000000001</v>
      </c>
      <c r="D89" s="6">
        <v>40000</v>
      </c>
      <c r="E89" s="6">
        <v>1399</v>
      </c>
      <c r="F89" s="6">
        <v>720</v>
      </c>
    </row>
    <row r="90" spans="1:6" x14ac:dyDescent="0.3">
      <c r="A90" s="5" t="s">
        <v>824</v>
      </c>
      <c r="B90" s="6">
        <v>6989760</v>
      </c>
      <c r="C90" s="6">
        <v>0.27179999999999999</v>
      </c>
      <c r="D90" s="6">
        <v>19000</v>
      </c>
      <c r="E90" s="6">
        <v>0</v>
      </c>
      <c r="F90" s="6">
        <v>715</v>
      </c>
    </row>
    <row r="91" spans="1:6" x14ac:dyDescent="0.3">
      <c r="A91" s="5" t="s">
        <v>2122</v>
      </c>
      <c r="B91" s="6">
        <v>551368749</v>
      </c>
      <c r="C91" s="6">
        <v>0.79800000000000004</v>
      </c>
      <c r="D91" s="6">
        <v>4400000</v>
      </c>
      <c r="E91" s="6">
        <v>0</v>
      </c>
      <c r="F91" s="6">
        <v>700</v>
      </c>
    </row>
    <row r="92" spans="1:6" x14ac:dyDescent="0.3">
      <c r="A92" s="5" t="s">
        <v>575</v>
      </c>
      <c r="B92" s="6">
        <v>4024012.5</v>
      </c>
      <c r="C92" s="6">
        <v>0.24940000000000001</v>
      </c>
      <c r="D92" s="6">
        <v>9750</v>
      </c>
      <c r="E92" s="6">
        <v>72.5</v>
      </c>
      <c r="F92" s="6">
        <v>687.5</v>
      </c>
    </row>
    <row r="93" spans="1:6" x14ac:dyDescent="0.3">
      <c r="A93" s="5" t="s">
        <v>1363</v>
      </c>
      <c r="B93" s="6">
        <v>88117307</v>
      </c>
      <c r="C93" s="6">
        <v>0.70960000000000001</v>
      </c>
      <c r="D93" s="6">
        <v>623000</v>
      </c>
      <c r="E93" s="6">
        <v>2245</v>
      </c>
      <c r="F93" s="6">
        <v>686</v>
      </c>
    </row>
    <row r="94" spans="1:6" x14ac:dyDescent="0.3">
      <c r="A94" s="5" t="s">
        <v>424</v>
      </c>
      <c r="B94" s="6">
        <v>75923671</v>
      </c>
      <c r="C94" s="6">
        <v>3.8269000000000002</v>
      </c>
      <c r="D94" s="6">
        <v>2900000</v>
      </c>
      <c r="E94" s="6">
        <v>5493</v>
      </c>
      <c r="F94" s="6">
        <v>681</v>
      </c>
    </row>
    <row r="95" spans="1:6" x14ac:dyDescent="0.3">
      <c r="A95" s="5" t="s">
        <v>702</v>
      </c>
      <c r="B95" s="6">
        <v>9340511.666666666</v>
      </c>
      <c r="C95" s="6">
        <v>0.36509999999999998</v>
      </c>
      <c r="D95" s="6">
        <v>10666.666666666666</v>
      </c>
      <c r="E95" s="6">
        <v>70.666666666666671</v>
      </c>
      <c r="F95" s="6">
        <v>668</v>
      </c>
    </row>
    <row r="96" spans="1:6" x14ac:dyDescent="0.3">
      <c r="A96" s="5" t="s">
        <v>2150</v>
      </c>
      <c r="B96" s="6">
        <v>91676631</v>
      </c>
      <c r="C96" s="6">
        <v>1.4226000000000001</v>
      </c>
      <c r="D96" s="6">
        <v>1300000</v>
      </c>
      <c r="E96" s="6">
        <v>4179</v>
      </c>
      <c r="F96" s="6">
        <v>653</v>
      </c>
    </row>
    <row r="97" spans="1:6" x14ac:dyDescent="0.3">
      <c r="A97" s="5" t="s">
        <v>642</v>
      </c>
      <c r="B97" s="6">
        <v>8104239.333333333</v>
      </c>
      <c r="C97" s="6">
        <v>0.59540000000000004</v>
      </c>
      <c r="D97" s="6">
        <v>42333.333333333336</v>
      </c>
      <c r="E97" s="6">
        <v>2380.3333333333335</v>
      </c>
      <c r="F97" s="6">
        <v>649.33333333333337</v>
      </c>
    </row>
    <row r="98" spans="1:6" x14ac:dyDescent="0.3">
      <c r="A98" s="5" t="s">
        <v>324</v>
      </c>
      <c r="B98" s="6">
        <v>35124720.5</v>
      </c>
      <c r="C98" s="6">
        <v>3.5790999999999999</v>
      </c>
      <c r="D98" s="6">
        <v>966000</v>
      </c>
      <c r="E98" s="6">
        <v>7665.25</v>
      </c>
      <c r="F98" s="6">
        <v>638.75</v>
      </c>
    </row>
    <row r="99" spans="1:6" x14ac:dyDescent="0.3">
      <c r="A99" s="5" t="s">
        <v>66</v>
      </c>
      <c r="B99" s="6">
        <v>2222583</v>
      </c>
      <c r="C99" s="6">
        <v>5.2545000000000002</v>
      </c>
      <c r="D99" s="6">
        <v>107000</v>
      </c>
      <c r="E99" s="6">
        <v>9785</v>
      </c>
      <c r="F99" s="6">
        <v>638</v>
      </c>
    </row>
    <row r="100" spans="1:6" x14ac:dyDescent="0.3">
      <c r="A100" s="5" t="s">
        <v>150</v>
      </c>
      <c r="B100" s="6">
        <v>7842230</v>
      </c>
      <c r="C100" s="6">
        <v>1.4912000000000001</v>
      </c>
      <c r="D100" s="6">
        <v>116000</v>
      </c>
      <c r="E100" s="6">
        <v>941</v>
      </c>
      <c r="F100" s="6">
        <v>635</v>
      </c>
    </row>
    <row r="101" spans="1:6" x14ac:dyDescent="0.3">
      <c r="A101" s="5" t="s">
        <v>2570</v>
      </c>
      <c r="B101" s="6">
        <v>17023876.5</v>
      </c>
      <c r="C101" s="6">
        <v>4.2442000000000002</v>
      </c>
      <c r="D101" s="6">
        <v>700000</v>
      </c>
      <c r="E101" s="6">
        <v>5335</v>
      </c>
      <c r="F101" s="6">
        <v>623.5</v>
      </c>
    </row>
    <row r="102" spans="1:6" x14ac:dyDescent="0.3">
      <c r="A102" s="5" t="s">
        <v>477</v>
      </c>
      <c r="B102" s="6">
        <v>103599932</v>
      </c>
      <c r="C102" s="6">
        <v>0.92869999999999997</v>
      </c>
      <c r="D102" s="6">
        <v>961000</v>
      </c>
      <c r="E102" s="6">
        <v>1111</v>
      </c>
      <c r="F102" s="6">
        <v>608</v>
      </c>
    </row>
    <row r="103" spans="1:6" x14ac:dyDescent="0.3">
      <c r="A103" s="5" t="s">
        <v>1909</v>
      </c>
      <c r="B103" s="6">
        <v>130270346</v>
      </c>
      <c r="C103" s="6">
        <v>0.59289999999999998</v>
      </c>
      <c r="D103" s="6">
        <v>770000</v>
      </c>
      <c r="E103" s="6">
        <v>2382</v>
      </c>
      <c r="F103" s="6">
        <v>586</v>
      </c>
    </row>
    <row r="104" spans="1:6" x14ac:dyDescent="0.3">
      <c r="A104" s="5" t="s">
        <v>74</v>
      </c>
      <c r="B104" s="6">
        <v>31313039</v>
      </c>
      <c r="C104" s="6">
        <v>0.84379999999999999</v>
      </c>
      <c r="D104" s="6">
        <v>264000</v>
      </c>
      <c r="E104" s="6">
        <v>210</v>
      </c>
      <c r="F104" s="6">
        <v>585</v>
      </c>
    </row>
    <row r="105" spans="1:6" x14ac:dyDescent="0.3">
      <c r="A105" s="5" t="s">
        <v>630</v>
      </c>
      <c r="B105" s="6">
        <v>4003077</v>
      </c>
      <c r="C105" s="6">
        <v>0.72319999999999995</v>
      </c>
      <c r="D105" s="6">
        <v>27000</v>
      </c>
      <c r="E105" s="6">
        <v>1952</v>
      </c>
      <c r="F105" s="6">
        <v>559</v>
      </c>
    </row>
    <row r="106" spans="1:6" x14ac:dyDescent="0.3">
      <c r="A106" s="5" t="s">
        <v>1748</v>
      </c>
      <c r="B106" s="6">
        <v>86789736</v>
      </c>
      <c r="C106" s="6">
        <v>8.0000000000000004E-4</v>
      </c>
      <c r="D106" s="6">
        <v>0</v>
      </c>
      <c r="E106" s="6">
        <v>730</v>
      </c>
      <c r="F106" s="6">
        <v>557</v>
      </c>
    </row>
    <row r="107" spans="1:6" x14ac:dyDescent="0.3">
      <c r="A107" s="5" t="s">
        <v>1901</v>
      </c>
      <c r="B107" s="6">
        <v>145441283</v>
      </c>
      <c r="C107" s="6">
        <v>1.4495</v>
      </c>
      <c r="D107" s="6">
        <v>2100000</v>
      </c>
      <c r="E107" s="6">
        <v>8179</v>
      </c>
      <c r="F107" s="6">
        <v>557</v>
      </c>
    </row>
    <row r="108" spans="1:6" x14ac:dyDescent="0.3">
      <c r="A108" s="5" t="s">
        <v>254</v>
      </c>
      <c r="B108" s="6">
        <v>2212450</v>
      </c>
      <c r="C108" s="6">
        <v>1.9348000000000001</v>
      </c>
      <c r="D108" s="6">
        <v>38000</v>
      </c>
      <c r="E108" s="6">
        <v>4807</v>
      </c>
      <c r="F108" s="6">
        <v>553</v>
      </c>
    </row>
    <row r="109" spans="1:6" x14ac:dyDescent="0.3">
      <c r="A109" s="5" t="s">
        <v>336</v>
      </c>
      <c r="B109" s="6">
        <v>4339625.5</v>
      </c>
      <c r="C109" s="6">
        <v>8.9999999999999993E-3</v>
      </c>
      <c r="D109" s="6">
        <v>0</v>
      </c>
      <c r="E109" s="6">
        <v>340</v>
      </c>
      <c r="F109" s="6">
        <v>547</v>
      </c>
    </row>
    <row r="110" spans="1:6" x14ac:dyDescent="0.3">
      <c r="A110" s="5" t="s">
        <v>2882</v>
      </c>
      <c r="B110" s="6">
        <v>5693482</v>
      </c>
      <c r="C110" s="6">
        <v>0.94940000000000002</v>
      </c>
      <c r="D110" s="6">
        <v>54000</v>
      </c>
      <c r="E110" s="6">
        <v>55</v>
      </c>
      <c r="F110" s="6">
        <v>536</v>
      </c>
    </row>
    <row r="111" spans="1:6" x14ac:dyDescent="0.3">
      <c r="A111" s="5" t="s">
        <v>1610</v>
      </c>
      <c r="B111" s="6">
        <v>176347419</v>
      </c>
      <c r="C111" s="6">
        <v>1.42</v>
      </c>
      <c r="D111" s="6">
        <v>2500000</v>
      </c>
      <c r="E111" s="6">
        <v>4107</v>
      </c>
      <c r="F111" s="6">
        <v>536</v>
      </c>
    </row>
    <row r="112" spans="1:6" x14ac:dyDescent="0.3">
      <c r="A112" s="5" t="s">
        <v>759</v>
      </c>
      <c r="B112" s="6">
        <v>3332899</v>
      </c>
      <c r="C112" s="6">
        <v>0.27300000000000002</v>
      </c>
      <c r="D112" s="6">
        <v>9100</v>
      </c>
      <c r="E112" s="6">
        <v>0</v>
      </c>
      <c r="F112" s="6">
        <v>535</v>
      </c>
    </row>
    <row r="113" spans="1:6" x14ac:dyDescent="0.3">
      <c r="A113" s="5" t="s">
        <v>106</v>
      </c>
      <c r="B113" s="6">
        <v>41669466</v>
      </c>
      <c r="C113" s="6">
        <v>0.80100000000000005</v>
      </c>
      <c r="D113" s="6">
        <v>333000</v>
      </c>
      <c r="E113" s="6">
        <v>789</v>
      </c>
      <c r="F113" s="6">
        <v>533</v>
      </c>
    </row>
    <row r="114" spans="1:6" x14ac:dyDescent="0.3">
      <c r="A114" s="5" t="s">
        <v>1453</v>
      </c>
      <c r="B114" s="6">
        <v>10189681</v>
      </c>
      <c r="C114" s="6">
        <v>2.4493999999999998</v>
      </c>
      <c r="D114" s="6">
        <v>247000</v>
      </c>
      <c r="E114" s="6">
        <v>2581</v>
      </c>
      <c r="F114" s="6">
        <v>532</v>
      </c>
    </row>
    <row r="115" spans="1:6" x14ac:dyDescent="0.3">
      <c r="A115" s="5" t="s">
        <v>332</v>
      </c>
      <c r="B115" s="6">
        <v>48830791</v>
      </c>
      <c r="C115" s="6">
        <v>0.94289999999999996</v>
      </c>
      <c r="D115" s="6">
        <v>441000</v>
      </c>
      <c r="E115" s="6">
        <v>19424</v>
      </c>
      <c r="F115" s="6">
        <v>531</v>
      </c>
    </row>
    <row r="116" spans="1:6" x14ac:dyDescent="0.3">
      <c r="A116" s="5" t="s">
        <v>796</v>
      </c>
      <c r="B116" s="6">
        <v>3725700.3333333335</v>
      </c>
      <c r="C116" s="6">
        <v>1.4967999999999999</v>
      </c>
      <c r="D116" s="6">
        <v>15666.666666666666</v>
      </c>
      <c r="E116" s="6">
        <v>278.33333333333331</v>
      </c>
      <c r="F116" s="6">
        <v>530</v>
      </c>
    </row>
    <row r="117" spans="1:6" x14ac:dyDescent="0.3">
      <c r="A117" s="5" t="s">
        <v>1059</v>
      </c>
      <c r="B117" s="6">
        <v>46105291</v>
      </c>
      <c r="C117" s="6">
        <v>1.8817999999999999</v>
      </c>
      <c r="D117" s="6">
        <v>866000</v>
      </c>
      <c r="E117" s="6">
        <v>1623</v>
      </c>
      <c r="F117" s="6">
        <v>529</v>
      </c>
    </row>
    <row r="118" spans="1:6" x14ac:dyDescent="0.3">
      <c r="A118" s="5" t="s">
        <v>1395</v>
      </c>
      <c r="B118" s="6">
        <v>55098555</v>
      </c>
      <c r="C118" s="6">
        <v>0</v>
      </c>
      <c r="D118" s="6">
        <v>0</v>
      </c>
      <c r="E118" s="6">
        <v>0</v>
      </c>
      <c r="F118" s="6">
        <v>513</v>
      </c>
    </row>
    <row r="119" spans="1:6" x14ac:dyDescent="0.3">
      <c r="A119" s="5" t="s">
        <v>2673</v>
      </c>
      <c r="B119" s="6">
        <v>18396900</v>
      </c>
      <c r="C119" s="6">
        <v>2.6419000000000001</v>
      </c>
      <c r="D119" s="6">
        <v>485000</v>
      </c>
      <c r="E119" s="6">
        <v>1035</v>
      </c>
      <c r="F119" s="6">
        <v>510</v>
      </c>
    </row>
    <row r="120" spans="1:6" x14ac:dyDescent="0.3">
      <c r="A120" s="5" t="s">
        <v>1002</v>
      </c>
      <c r="B120" s="6">
        <v>131875371</v>
      </c>
      <c r="C120" s="6">
        <v>0.98939999999999995</v>
      </c>
      <c r="D120" s="6">
        <v>1300000</v>
      </c>
      <c r="E120" s="6">
        <v>4810</v>
      </c>
      <c r="F120" s="6">
        <v>508</v>
      </c>
    </row>
    <row r="121" spans="1:6" x14ac:dyDescent="0.3">
      <c r="A121" s="5" t="s">
        <v>2058</v>
      </c>
      <c r="B121" s="6">
        <v>13026858</v>
      </c>
      <c r="C121" s="6">
        <v>1.5361</v>
      </c>
      <c r="D121" s="6">
        <v>200000</v>
      </c>
      <c r="E121" s="6">
        <v>102</v>
      </c>
      <c r="F121" s="6">
        <v>507</v>
      </c>
    </row>
    <row r="122" spans="1:6" x14ac:dyDescent="0.3">
      <c r="A122" s="5" t="s">
        <v>1638</v>
      </c>
      <c r="B122" s="6">
        <v>129940493</v>
      </c>
      <c r="C122" s="6">
        <v>1.2333000000000001</v>
      </c>
      <c r="D122" s="6">
        <v>1600000</v>
      </c>
      <c r="E122" s="6">
        <v>2588</v>
      </c>
      <c r="F122" s="6">
        <v>495</v>
      </c>
    </row>
    <row r="123" spans="1:6" x14ac:dyDescent="0.3">
      <c r="A123" s="5" t="s">
        <v>779</v>
      </c>
      <c r="B123" s="6">
        <v>7351819.4000000004</v>
      </c>
      <c r="C123" s="6">
        <v>1.8154999999999999</v>
      </c>
      <c r="D123" s="6">
        <v>81200</v>
      </c>
      <c r="E123" s="6">
        <v>122.6</v>
      </c>
      <c r="F123" s="6">
        <v>479.4</v>
      </c>
    </row>
    <row r="124" spans="1:6" x14ac:dyDescent="0.3">
      <c r="A124" s="5" t="s">
        <v>1195</v>
      </c>
      <c r="B124" s="6">
        <v>68859726.5</v>
      </c>
      <c r="C124" s="6">
        <v>2.2654999999999998</v>
      </c>
      <c r="D124" s="6">
        <v>635000</v>
      </c>
      <c r="E124" s="6">
        <v>911</v>
      </c>
      <c r="F124" s="6">
        <v>476.5</v>
      </c>
    </row>
    <row r="125" spans="1:6" x14ac:dyDescent="0.3">
      <c r="A125" s="5" t="s">
        <v>1089</v>
      </c>
      <c r="B125" s="6">
        <v>6301804</v>
      </c>
      <c r="C125" s="6">
        <v>1.8620000000000001</v>
      </c>
      <c r="D125" s="6">
        <v>117000</v>
      </c>
      <c r="E125" s="6">
        <v>337</v>
      </c>
      <c r="F125" s="6">
        <v>473</v>
      </c>
    </row>
    <row r="126" spans="1:6" x14ac:dyDescent="0.3">
      <c r="A126" s="5" t="s">
        <v>1730</v>
      </c>
      <c r="B126" s="6">
        <v>60647953</v>
      </c>
      <c r="C126" s="6">
        <v>5.11E-2</v>
      </c>
      <c r="D126" s="6">
        <v>31000</v>
      </c>
      <c r="E126" s="6">
        <v>0</v>
      </c>
      <c r="F126" s="6">
        <v>471</v>
      </c>
    </row>
    <row r="127" spans="1:6" x14ac:dyDescent="0.3">
      <c r="A127" s="5" t="s">
        <v>1734</v>
      </c>
      <c r="B127" s="6">
        <v>3491629</v>
      </c>
      <c r="C127" s="6">
        <v>0.18049999999999999</v>
      </c>
      <c r="D127" s="6">
        <v>6100</v>
      </c>
      <c r="E127" s="6">
        <v>201</v>
      </c>
      <c r="F127" s="6">
        <v>466</v>
      </c>
    </row>
    <row r="128" spans="1:6" x14ac:dyDescent="0.3">
      <c r="A128" s="5" t="s">
        <v>1006</v>
      </c>
      <c r="B128" s="6">
        <v>10775286</v>
      </c>
      <c r="C128" s="6">
        <v>0.86460000000000004</v>
      </c>
      <c r="D128" s="6">
        <v>93000</v>
      </c>
      <c r="E128" s="6">
        <v>161</v>
      </c>
      <c r="F128" s="6">
        <v>462</v>
      </c>
    </row>
    <row r="129" spans="1:6" x14ac:dyDescent="0.3">
      <c r="A129" s="5" t="s">
        <v>539</v>
      </c>
      <c r="B129" s="6">
        <v>1836201</v>
      </c>
      <c r="C129" s="6">
        <v>3.7065000000000001</v>
      </c>
      <c r="D129" s="6">
        <v>64000</v>
      </c>
      <c r="E129" s="6">
        <v>4059</v>
      </c>
      <c r="F129" s="6">
        <v>461</v>
      </c>
    </row>
    <row r="130" spans="1:6" x14ac:dyDescent="0.3">
      <c r="A130" s="5" t="s">
        <v>416</v>
      </c>
      <c r="B130" s="6">
        <v>5907217</v>
      </c>
      <c r="C130" s="6">
        <v>0.27960000000000002</v>
      </c>
      <c r="D130" s="6">
        <v>16000</v>
      </c>
      <c r="E130" s="6">
        <v>518</v>
      </c>
      <c r="F130" s="6">
        <v>458</v>
      </c>
    </row>
    <row r="131" spans="1:6" x14ac:dyDescent="0.3">
      <c r="A131" s="5" t="s">
        <v>1330</v>
      </c>
      <c r="B131" s="6">
        <v>43368360</v>
      </c>
      <c r="C131" s="6">
        <v>0.41739999999999999</v>
      </c>
      <c r="D131" s="6">
        <v>181000</v>
      </c>
      <c r="E131" s="6">
        <v>0</v>
      </c>
      <c r="F131" s="6">
        <v>447</v>
      </c>
    </row>
    <row r="132" spans="1:6" x14ac:dyDescent="0.3">
      <c r="A132" s="5" t="s">
        <v>957</v>
      </c>
      <c r="B132" s="6">
        <v>103865235</v>
      </c>
      <c r="C132" s="6">
        <v>0.97119999999999995</v>
      </c>
      <c r="D132" s="6">
        <v>1000000</v>
      </c>
      <c r="E132" s="6">
        <v>8768</v>
      </c>
      <c r="F132" s="6">
        <v>443</v>
      </c>
    </row>
    <row r="133" spans="1:6" x14ac:dyDescent="0.3">
      <c r="A133" s="5" t="s">
        <v>1039</v>
      </c>
      <c r="B133" s="6">
        <v>12443239</v>
      </c>
      <c r="C133" s="6">
        <v>2.3014999999999999</v>
      </c>
      <c r="D133" s="6">
        <v>286000</v>
      </c>
      <c r="E133" s="6">
        <v>386</v>
      </c>
      <c r="F133" s="6">
        <v>443</v>
      </c>
    </row>
    <row r="134" spans="1:6" x14ac:dyDescent="0.3">
      <c r="A134" s="5" t="s">
        <v>1035</v>
      </c>
      <c r="B134" s="6">
        <v>36495259</v>
      </c>
      <c r="C134" s="6">
        <v>2.1918000000000002</v>
      </c>
      <c r="D134" s="6">
        <v>796000</v>
      </c>
      <c r="E134" s="6">
        <v>3905</v>
      </c>
      <c r="F134" s="6">
        <v>434</v>
      </c>
    </row>
    <row r="135" spans="1:6" x14ac:dyDescent="0.3">
      <c r="A135" s="5" t="s">
        <v>1307</v>
      </c>
      <c r="B135" s="6">
        <v>133151558</v>
      </c>
      <c r="C135" s="6">
        <v>1.0458000000000001</v>
      </c>
      <c r="D135" s="6">
        <v>1220000</v>
      </c>
      <c r="E135" s="6">
        <v>1291.5</v>
      </c>
      <c r="F135" s="6">
        <v>425.5</v>
      </c>
    </row>
    <row r="136" spans="1:6" x14ac:dyDescent="0.3">
      <c r="A136" s="5" t="s">
        <v>2394</v>
      </c>
      <c r="B136" s="6">
        <v>56143478</v>
      </c>
      <c r="C136" s="6">
        <v>1.2219</v>
      </c>
      <c r="D136" s="6">
        <v>684000</v>
      </c>
      <c r="E136" s="6">
        <v>2002</v>
      </c>
      <c r="F136" s="6">
        <v>425</v>
      </c>
    </row>
    <row r="137" spans="1:6" x14ac:dyDescent="0.3">
      <c r="A137" s="5" t="s">
        <v>328</v>
      </c>
      <c r="B137" s="6">
        <v>2489518</v>
      </c>
      <c r="C137" s="6">
        <v>0.66710000000000003</v>
      </c>
      <c r="D137" s="6">
        <v>16000</v>
      </c>
      <c r="E137" s="6">
        <v>607</v>
      </c>
      <c r="F137" s="6">
        <v>424</v>
      </c>
    </row>
    <row r="138" spans="1:6" x14ac:dyDescent="0.3">
      <c r="A138" s="5" t="s">
        <v>282</v>
      </c>
      <c r="B138" s="6">
        <v>329890</v>
      </c>
      <c r="C138" s="6">
        <v>7.3719000000000001</v>
      </c>
      <c r="D138" s="6">
        <v>17000</v>
      </c>
      <c r="E138" s="6">
        <v>7319</v>
      </c>
      <c r="F138" s="6">
        <v>417</v>
      </c>
    </row>
    <row r="139" spans="1:6" x14ac:dyDescent="0.3">
      <c r="A139" s="5" t="s">
        <v>2050</v>
      </c>
      <c r="B139" s="6">
        <v>712594</v>
      </c>
      <c r="C139" s="6">
        <v>0.51249999999999996</v>
      </c>
      <c r="D139" s="6">
        <v>3400</v>
      </c>
      <c r="E139" s="6">
        <v>252</v>
      </c>
      <c r="F139" s="6">
        <v>416</v>
      </c>
    </row>
    <row r="140" spans="1:6" x14ac:dyDescent="0.3">
      <c r="A140" s="5" t="s">
        <v>1708</v>
      </c>
      <c r="B140" s="6">
        <v>16230965</v>
      </c>
      <c r="C140" s="6">
        <v>0.54879999999999995</v>
      </c>
      <c r="D140" s="6">
        <v>89000</v>
      </c>
      <c r="E140" s="6">
        <v>72</v>
      </c>
      <c r="F140" s="6">
        <v>416</v>
      </c>
    </row>
    <row r="141" spans="1:6" x14ac:dyDescent="0.3">
      <c r="A141" s="5" t="s">
        <v>1858</v>
      </c>
      <c r="B141" s="6">
        <v>32986283</v>
      </c>
      <c r="C141" s="6">
        <v>1.3782000000000001</v>
      </c>
      <c r="D141" s="6">
        <v>454000</v>
      </c>
      <c r="E141" s="6">
        <v>612</v>
      </c>
      <c r="F141" s="6">
        <v>405</v>
      </c>
    </row>
    <row r="142" spans="1:6" x14ac:dyDescent="0.3">
      <c r="A142" s="5" t="s">
        <v>868</v>
      </c>
      <c r="B142" s="6">
        <v>3962607</v>
      </c>
      <c r="C142" s="6">
        <v>1.5686</v>
      </c>
      <c r="D142" s="6">
        <v>56000</v>
      </c>
      <c r="E142" s="6">
        <v>6156</v>
      </c>
      <c r="F142" s="6">
        <v>402</v>
      </c>
    </row>
    <row r="143" spans="1:6" x14ac:dyDescent="0.3">
      <c r="A143" s="5" t="s">
        <v>398</v>
      </c>
      <c r="B143" s="6">
        <v>1979366.5</v>
      </c>
      <c r="C143" s="6">
        <v>0.27160000000000001</v>
      </c>
      <c r="D143" s="6">
        <v>4950</v>
      </c>
      <c r="E143" s="6">
        <v>0</v>
      </c>
      <c r="F143" s="6">
        <v>399.5</v>
      </c>
    </row>
    <row r="144" spans="1:6" x14ac:dyDescent="0.3">
      <c r="A144" s="5" t="s">
        <v>2257</v>
      </c>
      <c r="B144" s="6">
        <v>27731832</v>
      </c>
      <c r="C144" s="6">
        <v>0.80249999999999999</v>
      </c>
      <c r="D144" s="6">
        <v>216000</v>
      </c>
      <c r="E144" s="6">
        <v>6559</v>
      </c>
      <c r="F144" s="6">
        <v>395</v>
      </c>
    </row>
    <row r="145" spans="1:6" x14ac:dyDescent="0.3">
      <c r="A145" s="5" t="s">
        <v>1616</v>
      </c>
      <c r="B145" s="6">
        <v>73760944</v>
      </c>
      <c r="C145" s="6">
        <v>1.4975000000000001</v>
      </c>
      <c r="D145" s="6">
        <v>1100000</v>
      </c>
      <c r="E145" s="6">
        <v>4554</v>
      </c>
      <c r="F145" s="6">
        <v>392</v>
      </c>
    </row>
    <row r="146" spans="1:6" x14ac:dyDescent="0.3">
      <c r="A146" s="5" t="s">
        <v>2175</v>
      </c>
      <c r="B146" s="6">
        <v>156883873</v>
      </c>
      <c r="C146" s="6">
        <v>0.60819999999999996</v>
      </c>
      <c r="D146" s="6">
        <v>937000</v>
      </c>
      <c r="E146" s="6">
        <v>17145</v>
      </c>
      <c r="F146" s="6">
        <v>390</v>
      </c>
    </row>
    <row r="147" spans="1:6" x14ac:dyDescent="0.3">
      <c r="A147" s="5" t="s">
        <v>1051</v>
      </c>
      <c r="B147" s="6">
        <v>131441186</v>
      </c>
      <c r="C147" s="6">
        <v>0.76329999999999998</v>
      </c>
      <c r="D147" s="6">
        <v>1000000</v>
      </c>
      <c r="E147" s="6">
        <v>3272</v>
      </c>
      <c r="F147" s="6">
        <v>389</v>
      </c>
    </row>
    <row r="148" spans="1:6" x14ac:dyDescent="0.3">
      <c r="A148" s="5" t="s">
        <v>70</v>
      </c>
      <c r="B148" s="6">
        <v>120121</v>
      </c>
      <c r="C148" s="6">
        <v>4.3173000000000004</v>
      </c>
      <c r="D148" s="6">
        <v>4700</v>
      </c>
      <c r="E148" s="6">
        <v>486</v>
      </c>
      <c r="F148" s="6">
        <v>388</v>
      </c>
    </row>
    <row r="149" spans="1:6" x14ac:dyDescent="0.3">
      <c r="A149" s="5" t="s">
        <v>498</v>
      </c>
      <c r="B149" s="6">
        <v>4843209</v>
      </c>
      <c r="C149" s="6">
        <v>0.77070000000000005</v>
      </c>
      <c r="D149" s="6">
        <v>36000</v>
      </c>
      <c r="E149" s="6">
        <v>1329</v>
      </c>
      <c r="F149" s="6">
        <v>378</v>
      </c>
    </row>
    <row r="150" spans="1:6" x14ac:dyDescent="0.3">
      <c r="A150" s="5" t="s">
        <v>2211</v>
      </c>
      <c r="B150" s="6">
        <v>22951164</v>
      </c>
      <c r="C150" s="6">
        <v>1.952</v>
      </c>
      <c r="D150" s="6">
        <v>446000</v>
      </c>
      <c r="E150" s="6">
        <v>2006</v>
      </c>
      <c r="F150" s="6">
        <v>374</v>
      </c>
    </row>
    <row r="151" spans="1:6" x14ac:dyDescent="0.3">
      <c r="A151" s="5" t="s">
        <v>2863</v>
      </c>
      <c r="B151" s="6">
        <v>4703926</v>
      </c>
      <c r="C151" s="6">
        <v>3.4457</v>
      </c>
      <c r="D151" s="6">
        <v>159000</v>
      </c>
      <c r="E151" s="6">
        <v>3084</v>
      </c>
      <c r="F151" s="6">
        <v>371</v>
      </c>
    </row>
    <row r="152" spans="1:6" x14ac:dyDescent="0.3">
      <c r="A152" s="5" t="s">
        <v>2522</v>
      </c>
      <c r="B152" s="6">
        <v>15215258</v>
      </c>
      <c r="C152" s="6">
        <v>0.9083</v>
      </c>
      <c r="D152" s="6">
        <v>138000</v>
      </c>
      <c r="E152" s="6">
        <v>205</v>
      </c>
      <c r="F152" s="6">
        <v>371</v>
      </c>
    </row>
    <row r="153" spans="1:6" x14ac:dyDescent="0.3">
      <c r="A153" s="5" t="s">
        <v>208</v>
      </c>
      <c r="B153" s="6">
        <v>11495674.5</v>
      </c>
      <c r="C153" s="6">
        <v>0.35239999999999999</v>
      </c>
      <c r="D153" s="6">
        <v>38000</v>
      </c>
      <c r="E153" s="6">
        <v>410.5</v>
      </c>
      <c r="F153" s="6">
        <v>369.5</v>
      </c>
    </row>
    <row r="154" spans="1:6" x14ac:dyDescent="0.3">
      <c r="A154" s="5" t="s">
        <v>2040</v>
      </c>
      <c r="B154" s="6">
        <v>36076918</v>
      </c>
      <c r="C154" s="6">
        <v>0.1759</v>
      </c>
      <c r="D154" s="6">
        <v>63000</v>
      </c>
      <c r="E154" s="6">
        <v>456</v>
      </c>
      <c r="F154" s="6">
        <v>368</v>
      </c>
    </row>
    <row r="155" spans="1:6" x14ac:dyDescent="0.3">
      <c r="A155" s="5" t="s">
        <v>734</v>
      </c>
      <c r="B155" s="6">
        <v>4140147</v>
      </c>
      <c r="C155" s="6">
        <v>6.4126000000000003</v>
      </c>
      <c r="D155" s="6">
        <v>207000</v>
      </c>
      <c r="E155" s="6">
        <v>58490</v>
      </c>
      <c r="F155" s="6">
        <v>364</v>
      </c>
    </row>
    <row r="156" spans="1:6" x14ac:dyDescent="0.3">
      <c r="A156" s="5" t="s">
        <v>1846</v>
      </c>
      <c r="B156" s="6">
        <v>49314084</v>
      </c>
      <c r="C156" s="6">
        <v>0.57479999999999998</v>
      </c>
      <c r="D156" s="6">
        <v>283000</v>
      </c>
      <c r="E156" s="6">
        <v>476</v>
      </c>
      <c r="F156" s="6">
        <v>363</v>
      </c>
    </row>
    <row r="157" spans="1:6" x14ac:dyDescent="0.3">
      <c r="A157" s="5" t="s">
        <v>2562</v>
      </c>
      <c r="B157" s="6">
        <v>3831456.5</v>
      </c>
      <c r="C157" s="6">
        <v>3.4089</v>
      </c>
      <c r="D157" s="6">
        <v>82000</v>
      </c>
      <c r="E157" s="6">
        <v>357.5</v>
      </c>
      <c r="F157" s="6">
        <v>360.5</v>
      </c>
    </row>
    <row r="158" spans="1:6" x14ac:dyDescent="0.3">
      <c r="A158" s="5" t="s">
        <v>716</v>
      </c>
      <c r="B158" s="6">
        <v>4235017.5999999996</v>
      </c>
      <c r="C158" s="6">
        <v>0.15210000000000001</v>
      </c>
      <c r="D158" s="6">
        <v>4826.3999999999996</v>
      </c>
      <c r="E158" s="6">
        <v>45.2</v>
      </c>
      <c r="F158" s="6">
        <v>357.6</v>
      </c>
    </row>
    <row r="159" spans="1:6" x14ac:dyDescent="0.3">
      <c r="A159" s="5" t="s">
        <v>803</v>
      </c>
      <c r="B159" s="6">
        <v>141287002</v>
      </c>
      <c r="C159" s="6">
        <v>0.78049999999999997</v>
      </c>
      <c r="D159" s="6">
        <v>1100000</v>
      </c>
      <c r="E159" s="6">
        <v>2781</v>
      </c>
      <c r="F159" s="6">
        <v>352</v>
      </c>
    </row>
    <row r="160" spans="1:6" x14ac:dyDescent="0.3">
      <c r="A160" s="5" t="s">
        <v>1367</v>
      </c>
      <c r="B160" s="6">
        <v>19947063</v>
      </c>
      <c r="C160" s="6">
        <v>0</v>
      </c>
      <c r="D160" s="6">
        <v>0</v>
      </c>
      <c r="E160" s="6">
        <v>0</v>
      </c>
      <c r="F160" s="6">
        <v>345</v>
      </c>
    </row>
    <row r="161" spans="1:6" x14ac:dyDescent="0.3">
      <c r="A161" s="5" t="s">
        <v>17</v>
      </c>
      <c r="B161" s="6">
        <v>16456884</v>
      </c>
      <c r="C161" s="6">
        <v>0.81340000000000001</v>
      </c>
      <c r="D161" s="6">
        <v>129000</v>
      </c>
      <c r="E161" s="6">
        <v>4863</v>
      </c>
      <c r="F161" s="6">
        <v>342</v>
      </c>
    </row>
    <row r="162" spans="1:6" x14ac:dyDescent="0.3">
      <c r="A162" s="5" t="s">
        <v>2799</v>
      </c>
      <c r="B162" s="6">
        <v>14111398</v>
      </c>
      <c r="C162" s="6">
        <v>1.0557000000000001</v>
      </c>
      <c r="D162" s="6">
        <v>147900</v>
      </c>
      <c r="E162" s="6">
        <v>370.5</v>
      </c>
      <c r="F162" s="6">
        <v>339.5</v>
      </c>
    </row>
    <row r="163" spans="1:6" x14ac:dyDescent="0.3">
      <c r="A163" s="5" t="s">
        <v>1590</v>
      </c>
      <c r="B163" s="6">
        <v>39412008</v>
      </c>
      <c r="C163" s="6">
        <v>0.5292</v>
      </c>
      <c r="D163" s="6">
        <v>208000</v>
      </c>
      <c r="E163" s="6">
        <v>555</v>
      </c>
      <c r="F163" s="6">
        <v>339</v>
      </c>
    </row>
    <row r="164" spans="1:6" x14ac:dyDescent="0.3">
      <c r="A164" s="5" t="s">
        <v>428</v>
      </c>
      <c r="B164" s="6">
        <v>38274019</v>
      </c>
      <c r="C164" s="6">
        <v>1.4560999999999999</v>
      </c>
      <c r="D164" s="6">
        <v>539000</v>
      </c>
      <c r="E164" s="6">
        <v>18327</v>
      </c>
      <c r="F164" s="6">
        <v>334</v>
      </c>
    </row>
    <row r="165" spans="1:6" x14ac:dyDescent="0.3">
      <c r="A165" s="5" t="s">
        <v>1712</v>
      </c>
      <c r="B165" s="6">
        <v>24963377</v>
      </c>
      <c r="C165" s="6">
        <v>1.1951000000000001</v>
      </c>
      <c r="D165" s="6">
        <v>298000</v>
      </c>
      <c r="E165" s="6">
        <v>326</v>
      </c>
      <c r="F165" s="6">
        <v>333</v>
      </c>
    </row>
    <row r="166" spans="1:6" x14ac:dyDescent="0.3">
      <c r="A166" s="5" t="s">
        <v>709</v>
      </c>
      <c r="B166" s="6">
        <v>3135424</v>
      </c>
      <c r="C166" s="6">
        <v>0.63319999999999999</v>
      </c>
      <c r="D166" s="6">
        <v>18000</v>
      </c>
      <c r="E166" s="6">
        <v>1852</v>
      </c>
      <c r="F166" s="6">
        <v>333</v>
      </c>
    </row>
    <row r="167" spans="1:6" x14ac:dyDescent="0.3">
      <c r="A167" s="5" t="s">
        <v>1536</v>
      </c>
      <c r="B167" s="6">
        <v>13118313</v>
      </c>
      <c r="C167" s="6">
        <v>0.30449999999999999</v>
      </c>
      <c r="D167" s="6">
        <v>39000</v>
      </c>
      <c r="E167" s="6">
        <v>939</v>
      </c>
      <c r="F167" s="6">
        <v>328</v>
      </c>
    </row>
    <row r="168" spans="1:6" x14ac:dyDescent="0.3">
      <c r="A168" s="5" t="s">
        <v>2073</v>
      </c>
      <c r="B168" s="6">
        <v>110142535.5</v>
      </c>
      <c r="C168" s="6">
        <v>0.52190000000000003</v>
      </c>
      <c r="D168" s="6">
        <v>571000</v>
      </c>
      <c r="E168" s="6">
        <v>2384</v>
      </c>
      <c r="F168" s="6">
        <v>325.5</v>
      </c>
    </row>
    <row r="169" spans="1:6" x14ac:dyDescent="0.3">
      <c r="A169" s="5" t="s">
        <v>2245</v>
      </c>
      <c r="B169" s="6">
        <v>6799795</v>
      </c>
      <c r="C169" s="6">
        <v>1.4004000000000001</v>
      </c>
      <c r="D169" s="6">
        <v>95000</v>
      </c>
      <c r="E169" s="6">
        <v>225</v>
      </c>
      <c r="F169" s="6">
        <v>324</v>
      </c>
    </row>
    <row r="170" spans="1:6" x14ac:dyDescent="0.3">
      <c r="A170" s="5" t="s">
        <v>1842</v>
      </c>
      <c r="B170" s="6">
        <v>9288081</v>
      </c>
      <c r="C170" s="6">
        <v>1.2051000000000001</v>
      </c>
      <c r="D170" s="6">
        <v>106000</v>
      </c>
      <c r="E170" s="6">
        <v>5935</v>
      </c>
      <c r="F170" s="6">
        <v>323</v>
      </c>
    </row>
    <row r="171" spans="1:6" x14ac:dyDescent="0.3">
      <c r="A171" s="5" t="s">
        <v>872</v>
      </c>
      <c r="B171" s="6">
        <v>5230229</v>
      </c>
      <c r="C171" s="6">
        <v>0.18179999999999999</v>
      </c>
      <c r="D171" s="6">
        <v>9400</v>
      </c>
      <c r="E171" s="6">
        <v>108</v>
      </c>
      <c r="F171" s="6">
        <v>323</v>
      </c>
    </row>
    <row r="172" spans="1:6" x14ac:dyDescent="0.3">
      <c r="A172" s="5" t="s">
        <v>383</v>
      </c>
      <c r="B172" s="6">
        <v>1728137.2857142857</v>
      </c>
      <c r="C172" s="6">
        <v>2.0209999999999999</v>
      </c>
      <c r="D172" s="6">
        <v>7729.8571428571431</v>
      </c>
      <c r="E172" s="6">
        <v>76.428571428571431</v>
      </c>
      <c r="F172" s="6">
        <v>320.57142857142856</v>
      </c>
    </row>
    <row r="173" spans="1:6" x14ac:dyDescent="0.3">
      <c r="A173" s="5" t="s">
        <v>2218</v>
      </c>
      <c r="B173" s="6">
        <v>2389830</v>
      </c>
      <c r="C173" s="6">
        <v>4.4629000000000003</v>
      </c>
      <c r="D173" s="6">
        <v>88000</v>
      </c>
      <c r="E173" s="6">
        <v>18655</v>
      </c>
      <c r="F173" s="6">
        <v>320</v>
      </c>
    </row>
    <row r="174" spans="1:6" x14ac:dyDescent="0.3">
      <c r="A174" s="5" t="s">
        <v>266</v>
      </c>
      <c r="B174" s="6">
        <v>1462083</v>
      </c>
      <c r="C174" s="6">
        <v>1.1164000000000001</v>
      </c>
      <c r="D174" s="6">
        <v>16000</v>
      </c>
      <c r="E174" s="6">
        <v>323</v>
      </c>
      <c r="F174" s="6">
        <v>312</v>
      </c>
    </row>
    <row r="175" spans="1:6" x14ac:dyDescent="0.3">
      <c r="A175" s="5" t="s">
        <v>990</v>
      </c>
      <c r="B175" s="6">
        <v>687089438</v>
      </c>
      <c r="C175" s="6">
        <v>0.78659999999999997</v>
      </c>
      <c r="D175" s="6">
        <v>5400000</v>
      </c>
      <c r="E175" s="6">
        <v>4837</v>
      </c>
      <c r="F175" s="6">
        <v>309</v>
      </c>
    </row>
    <row r="176" spans="1:6" x14ac:dyDescent="0.3">
      <c r="A176" s="5" t="s">
        <v>1905</v>
      </c>
      <c r="B176" s="6">
        <v>13670622</v>
      </c>
      <c r="C176" s="6">
        <v>2.63E-2</v>
      </c>
      <c r="D176" s="6">
        <v>0</v>
      </c>
      <c r="E176" s="6">
        <v>3590</v>
      </c>
      <c r="F176" s="6">
        <v>308</v>
      </c>
    </row>
    <row r="177" spans="1:6" x14ac:dyDescent="0.3">
      <c r="A177" s="5" t="s">
        <v>2222</v>
      </c>
      <c r="B177" s="6">
        <v>31485478</v>
      </c>
      <c r="C177" s="6">
        <v>0.61109999999999998</v>
      </c>
      <c r="D177" s="6">
        <v>192000</v>
      </c>
      <c r="E177" s="6">
        <v>407</v>
      </c>
      <c r="F177" s="6">
        <v>307</v>
      </c>
    </row>
    <row r="178" spans="1:6" x14ac:dyDescent="0.3">
      <c r="A178" s="5" t="s">
        <v>1171</v>
      </c>
      <c r="B178" s="6">
        <v>56699064</v>
      </c>
      <c r="C178" s="6">
        <v>1.0838000000000001</v>
      </c>
      <c r="D178" s="6">
        <v>612000</v>
      </c>
      <c r="E178" s="6">
        <v>2484</v>
      </c>
      <c r="F178" s="6">
        <v>302</v>
      </c>
    </row>
    <row r="179" spans="1:6" x14ac:dyDescent="0.3">
      <c r="A179" s="5" t="s">
        <v>1063</v>
      </c>
      <c r="B179" s="6">
        <v>7864397</v>
      </c>
      <c r="C179" s="6">
        <v>0.35949999999999999</v>
      </c>
      <c r="D179" s="6">
        <v>28000</v>
      </c>
      <c r="E179" s="6">
        <v>269</v>
      </c>
      <c r="F179" s="6">
        <v>301</v>
      </c>
    </row>
    <row r="180" spans="1:6" x14ac:dyDescent="0.3">
      <c r="A180" s="5" t="s">
        <v>344</v>
      </c>
      <c r="B180" s="6">
        <v>4603058</v>
      </c>
      <c r="C180" s="6">
        <v>1.6375999999999999</v>
      </c>
      <c r="D180" s="6">
        <v>75000</v>
      </c>
      <c r="E180" s="6">
        <v>379</v>
      </c>
      <c r="F180" s="6">
        <v>300</v>
      </c>
    </row>
    <row r="181" spans="1:6" x14ac:dyDescent="0.3">
      <c r="A181" s="5" t="s">
        <v>340</v>
      </c>
      <c r="B181" s="6">
        <v>5616009</v>
      </c>
      <c r="C181" s="6">
        <v>1.1718999999999999</v>
      </c>
      <c r="D181" s="6">
        <v>20377.7</v>
      </c>
      <c r="E181" s="6">
        <v>120.9</v>
      </c>
      <c r="F181" s="6">
        <v>298.7</v>
      </c>
    </row>
    <row r="182" spans="1:6" x14ac:dyDescent="0.3">
      <c r="A182" s="5" t="s">
        <v>783</v>
      </c>
      <c r="B182" s="6">
        <v>8137975.5</v>
      </c>
      <c r="C182" s="6">
        <v>0.7379</v>
      </c>
      <c r="D182" s="6">
        <v>51500</v>
      </c>
      <c r="E182" s="6">
        <v>979</v>
      </c>
      <c r="F182" s="6">
        <v>297</v>
      </c>
    </row>
    <row r="183" spans="1:6" x14ac:dyDescent="0.3">
      <c r="A183" s="5" t="s">
        <v>1017</v>
      </c>
      <c r="B183" s="6">
        <v>31352412</v>
      </c>
      <c r="C183" s="6">
        <v>1.7625</v>
      </c>
      <c r="D183" s="6">
        <v>548000</v>
      </c>
      <c r="E183" s="6">
        <v>4575</v>
      </c>
      <c r="F183" s="6">
        <v>297</v>
      </c>
    </row>
    <row r="184" spans="1:6" x14ac:dyDescent="0.3">
      <c r="A184" s="5" t="s">
        <v>864</v>
      </c>
      <c r="B184" s="6">
        <v>17406466</v>
      </c>
      <c r="C184" s="6">
        <v>0.34710000000000002</v>
      </c>
      <c r="D184" s="6">
        <v>60000</v>
      </c>
      <c r="E184" s="6">
        <v>419</v>
      </c>
      <c r="F184" s="6">
        <v>297</v>
      </c>
    </row>
    <row r="185" spans="1:6" x14ac:dyDescent="0.3">
      <c r="A185" s="5" t="s">
        <v>807</v>
      </c>
      <c r="B185" s="6">
        <v>21347502</v>
      </c>
      <c r="C185" s="6">
        <v>6.1499999999999999E-2</v>
      </c>
      <c r="D185" s="6">
        <v>13000</v>
      </c>
      <c r="E185" s="6">
        <v>134</v>
      </c>
      <c r="F185" s="6">
        <v>291</v>
      </c>
    </row>
    <row r="186" spans="1:6" x14ac:dyDescent="0.3">
      <c r="A186" s="5" t="s">
        <v>305</v>
      </c>
      <c r="B186" s="6">
        <v>8755497</v>
      </c>
      <c r="C186" s="6">
        <v>0.66669999999999996</v>
      </c>
      <c r="D186" s="6">
        <v>58000</v>
      </c>
      <c r="E186" s="6">
        <v>377</v>
      </c>
      <c r="F186" s="6">
        <v>288</v>
      </c>
    </row>
    <row r="187" spans="1:6" x14ac:dyDescent="0.3">
      <c r="A187" s="5" t="s">
        <v>90</v>
      </c>
      <c r="B187" s="6">
        <v>1388076.5</v>
      </c>
      <c r="C187" s="6">
        <v>3.4971000000000001</v>
      </c>
      <c r="D187" s="6">
        <v>37000</v>
      </c>
      <c r="E187" s="6">
        <v>9054.5</v>
      </c>
      <c r="F187" s="6">
        <v>287</v>
      </c>
    </row>
    <row r="188" spans="1:6" x14ac:dyDescent="0.3">
      <c r="A188" s="5" t="s">
        <v>242</v>
      </c>
      <c r="B188" s="6">
        <v>1201844</v>
      </c>
      <c r="C188" s="6">
        <v>0.96460000000000001</v>
      </c>
      <c r="D188" s="6">
        <v>11000</v>
      </c>
      <c r="E188" s="6">
        <v>593</v>
      </c>
      <c r="F188" s="6">
        <v>286</v>
      </c>
    </row>
    <row r="189" spans="1:6" x14ac:dyDescent="0.3">
      <c r="A189" s="5" t="s">
        <v>1634</v>
      </c>
      <c r="B189" s="6">
        <v>1734962</v>
      </c>
      <c r="C189" s="6">
        <v>4.3173000000000004</v>
      </c>
      <c r="D189" s="6">
        <v>69000</v>
      </c>
      <c r="E189" s="6">
        <v>5904</v>
      </c>
      <c r="F189" s="6">
        <v>285</v>
      </c>
    </row>
    <row r="190" spans="1:6" x14ac:dyDescent="0.3">
      <c r="A190" s="5" t="s">
        <v>86</v>
      </c>
      <c r="B190" s="6">
        <v>20901861</v>
      </c>
      <c r="C190" s="6">
        <v>1.0874999999999999</v>
      </c>
      <c r="D190" s="6">
        <v>227000</v>
      </c>
      <c r="E190" s="6">
        <v>312</v>
      </c>
      <c r="F190" s="6">
        <v>284</v>
      </c>
    </row>
    <row r="191" spans="1:6" x14ac:dyDescent="0.3">
      <c r="A191" s="5" t="s">
        <v>1862</v>
      </c>
      <c r="B191" s="6">
        <v>55671534</v>
      </c>
      <c r="C191" s="6">
        <v>3.7000000000000002E-3</v>
      </c>
      <c r="D191" s="6">
        <v>0</v>
      </c>
      <c r="E191" s="6">
        <v>2055</v>
      </c>
      <c r="F191" s="6">
        <v>283</v>
      </c>
    </row>
    <row r="192" spans="1:6" x14ac:dyDescent="0.3">
      <c r="A192" s="5" t="s">
        <v>274</v>
      </c>
      <c r="B192" s="6">
        <v>3243279</v>
      </c>
      <c r="C192" s="6">
        <v>1.2349000000000001</v>
      </c>
      <c r="D192" s="6">
        <v>37000</v>
      </c>
      <c r="E192" s="6">
        <v>3051</v>
      </c>
      <c r="F192" s="6">
        <v>280</v>
      </c>
    </row>
    <row r="193" spans="1:6" x14ac:dyDescent="0.3">
      <c r="A193" s="5" t="s">
        <v>1130</v>
      </c>
      <c r="B193" s="6">
        <v>144802332.33333334</v>
      </c>
      <c r="C193" s="6">
        <v>1.1117999999999999</v>
      </c>
      <c r="D193" s="6">
        <v>1318666.6666666667</v>
      </c>
      <c r="E193" s="6">
        <v>832.66666666666663</v>
      </c>
      <c r="F193" s="6">
        <v>277.66666666666669</v>
      </c>
    </row>
    <row r="194" spans="1:6" x14ac:dyDescent="0.3">
      <c r="A194" s="5" t="s">
        <v>2844</v>
      </c>
      <c r="B194" s="6">
        <v>69444343</v>
      </c>
      <c r="C194" s="6">
        <v>0.60519999999999996</v>
      </c>
      <c r="D194" s="6">
        <v>418000</v>
      </c>
      <c r="E194" s="6">
        <v>2254</v>
      </c>
      <c r="F194" s="6">
        <v>277</v>
      </c>
    </row>
    <row r="195" spans="1:6" x14ac:dyDescent="0.3">
      <c r="A195" s="5" t="s">
        <v>1952</v>
      </c>
      <c r="B195" s="6">
        <v>224977540</v>
      </c>
      <c r="C195" s="6">
        <v>1.3807</v>
      </c>
      <c r="D195" s="6">
        <v>3100000</v>
      </c>
      <c r="E195" s="6">
        <v>6198</v>
      </c>
      <c r="F195" s="6">
        <v>274</v>
      </c>
    </row>
    <row r="196" spans="1:6" x14ac:dyDescent="0.3">
      <c r="A196" s="5" t="s">
        <v>1445</v>
      </c>
      <c r="B196" s="6">
        <v>11809874.666666666</v>
      </c>
      <c r="C196" s="6">
        <v>2.7869999999999999</v>
      </c>
      <c r="D196" s="6">
        <v>297666.66666666669</v>
      </c>
      <c r="E196" s="6">
        <v>2280.6666666666665</v>
      </c>
      <c r="F196" s="6">
        <v>272.33333333333331</v>
      </c>
    </row>
    <row r="197" spans="1:6" x14ac:dyDescent="0.3">
      <c r="A197" s="5" t="s">
        <v>961</v>
      </c>
      <c r="B197" s="6">
        <v>110704493</v>
      </c>
      <c r="C197" s="6">
        <v>1.4689000000000001</v>
      </c>
      <c r="D197" s="6">
        <v>1600000</v>
      </c>
      <c r="E197" s="6">
        <v>26110</v>
      </c>
      <c r="F197" s="6">
        <v>272</v>
      </c>
    </row>
    <row r="198" spans="1:6" x14ac:dyDescent="0.3">
      <c r="A198" s="5" t="s">
        <v>2264</v>
      </c>
      <c r="B198" s="6">
        <v>7493042</v>
      </c>
      <c r="C198" s="6">
        <v>2.7618999999999998</v>
      </c>
      <c r="D198" s="6">
        <v>203000</v>
      </c>
      <c r="E198" s="6">
        <v>3954</v>
      </c>
      <c r="F198" s="6">
        <v>270</v>
      </c>
    </row>
    <row r="199" spans="1:6" x14ac:dyDescent="0.3">
      <c r="A199" s="5" t="s">
        <v>1650</v>
      </c>
      <c r="B199" s="6">
        <v>6770658</v>
      </c>
      <c r="C199" s="6">
        <v>1.09E-2</v>
      </c>
      <c r="D199" s="6">
        <v>0</v>
      </c>
      <c r="E199" s="6">
        <v>735</v>
      </c>
      <c r="F199" s="6">
        <v>270</v>
      </c>
    </row>
    <row r="200" spans="1:6" x14ac:dyDescent="0.3">
      <c r="A200" s="5" t="s">
        <v>1435</v>
      </c>
      <c r="B200" s="6">
        <v>35110933</v>
      </c>
      <c r="C200" s="6">
        <v>0.36630000000000001</v>
      </c>
      <c r="D200" s="6">
        <v>127000</v>
      </c>
      <c r="E200" s="6">
        <v>1605</v>
      </c>
      <c r="F200" s="6">
        <v>267</v>
      </c>
    </row>
    <row r="201" spans="1:6" x14ac:dyDescent="0.3">
      <c r="A201" s="5" t="s">
        <v>1383</v>
      </c>
      <c r="B201" s="6">
        <v>29224895</v>
      </c>
      <c r="C201" s="6">
        <v>0.6885</v>
      </c>
      <c r="D201" s="6">
        <v>201000</v>
      </c>
      <c r="E201" s="6">
        <v>210</v>
      </c>
      <c r="F201" s="6">
        <v>264</v>
      </c>
    </row>
    <row r="202" spans="1:6" x14ac:dyDescent="0.3">
      <c r="A202" s="5" t="s">
        <v>1126</v>
      </c>
      <c r="B202" s="6">
        <v>590881</v>
      </c>
      <c r="C202" s="6">
        <v>2.4426000000000001</v>
      </c>
      <c r="D202" s="6">
        <v>13000</v>
      </c>
      <c r="E202" s="6">
        <v>1433</v>
      </c>
      <c r="F202" s="6">
        <v>263</v>
      </c>
    </row>
    <row r="203" spans="1:6" x14ac:dyDescent="0.3">
      <c r="A203" s="5" t="s">
        <v>146</v>
      </c>
      <c r="B203" s="6">
        <v>13386205</v>
      </c>
      <c r="C203" s="6">
        <v>1.1095999999999999</v>
      </c>
      <c r="D203" s="6">
        <v>89900</v>
      </c>
      <c r="E203" s="6">
        <v>68.5</v>
      </c>
      <c r="F203" s="6">
        <v>263</v>
      </c>
    </row>
    <row r="204" spans="1:6" x14ac:dyDescent="0.3">
      <c r="A204" s="5" t="s">
        <v>2357</v>
      </c>
      <c r="B204" s="6">
        <v>12557883</v>
      </c>
      <c r="C204" s="6">
        <v>0.83679999999999999</v>
      </c>
      <c r="D204" s="6">
        <v>105000</v>
      </c>
      <c r="E204" s="6">
        <v>88</v>
      </c>
      <c r="F204" s="6">
        <v>263</v>
      </c>
    </row>
    <row r="205" spans="1:6" x14ac:dyDescent="0.3">
      <c r="A205" s="5" t="s">
        <v>2028</v>
      </c>
      <c r="B205" s="6">
        <v>54891000</v>
      </c>
      <c r="C205" s="6">
        <v>0.30980000000000002</v>
      </c>
      <c r="D205" s="6">
        <v>170000</v>
      </c>
      <c r="E205" s="6">
        <v>40</v>
      </c>
      <c r="F205" s="6">
        <v>259</v>
      </c>
    </row>
    <row r="206" spans="1:6" x14ac:dyDescent="0.3">
      <c r="A206" s="5" t="s">
        <v>375</v>
      </c>
      <c r="B206" s="6">
        <v>2172147</v>
      </c>
      <c r="C206" s="6">
        <v>0.5504</v>
      </c>
      <c r="D206" s="6">
        <v>10000</v>
      </c>
      <c r="E206" s="6">
        <v>1955</v>
      </c>
      <c r="F206" s="6">
        <v>256</v>
      </c>
    </row>
    <row r="207" spans="1:6" x14ac:dyDescent="0.3">
      <c r="A207" s="5" t="s">
        <v>2142</v>
      </c>
      <c r="B207" s="6">
        <v>3246996</v>
      </c>
      <c r="C207" s="6">
        <v>3.9426000000000001</v>
      </c>
      <c r="D207" s="6">
        <v>127000</v>
      </c>
      <c r="E207" s="6">
        <v>1017</v>
      </c>
      <c r="F207" s="6">
        <v>255</v>
      </c>
    </row>
    <row r="208" spans="1:6" x14ac:dyDescent="0.3">
      <c r="A208" s="5" t="s">
        <v>1576</v>
      </c>
      <c r="B208" s="6">
        <v>8423130</v>
      </c>
      <c r="C208" s="6">
        <v>2.0169999999999999</v>
      </c>
      <c r="D208" s="6">
        <v>168000</v>
      </c>
      <c r="E208" s="6">
        <v>1896</v>
      </c>
      <c r="F208" s="6">
        <v>255</v>
      </c>
    </row>
    <row r="209" spans="1:6" x14ac:dyDescent="0.3">
      <c r="A209" s="5" t="s">
        <v>1569</v>
      </c>
      <c r="B209" s="6">
        <v>14583460</v>
      </c>
      <c r="C209" s="6">
        <v>5.0000000000000001E-3</v>
      </c>
      <c r="D209" s="6">
        <v>0</v>
      </c>
      <c r="E209" s="6">
        <v>724</v>
      </c>
      <c r="F209" s="6">
        <v>255</v>
      </c>
    </row>
    <row r="210" spans="1:6" x14ac:dyDescent="0.3">
      <c r="A210" s="5" t="s">
        <v>102</v>
      </c>
      <c r="B210" s="6">
        <v>25894749</v>
      </c>
      <c r="C210" s="6">
        <v>2.4548000000000001</v>
      </c>
      <c r="D210" s="6">
        <v>629000</v>
      </c>
      <c r="E210" s="6">
        <v>6669</v>
      </c>
      <c r="F210" s="6">
        <v>252</v>
      </c>
    </row>
    <row r="211" spans="1:6" x14ac:dyDescent="0.3">
      <c r="A211" s="5" t="s">
        <v>2814</v>
      </c>
      <c r="B211" s="6">
        <v>21726986</v>
      </c>
      <c r="C211" s="6">
        <v>0.19789999999999999</v>
      </c>
      <c r="D211" s="6">
        <v>43000</v>
      </c>
      <c r="E211" s="6">
        <v>0</v>
      </c>
      <c r="F211" s="6">
        <v>251</v>
      </c>
    </row>
    <row r="212" spans="1:6" x14ac:dyDescent="0.3">
      <c r="A212" s="5" t="s">
        <v>297</v>
      </c>
      <c r="B212" s="6">
        <v>1851643</v>
      </c>
      <c r="C212" s="6">
        <v>0.85840000000000005</v>
      </c>
      <c r="D212" s="6">
        <v>14000</v>
      </c>
      <c r="E212" s="6">
        <v>1895</v>
      </c>
      <c r="F212" s="6">
        <v>249</v>
      </c>
    </row>
    <row r="213" spans="1:6" x14ac:dyDescent="0.3">
      <c r="A213" s="5" t="s">
        <v>1047</v>
      </c>
      <c r="B213" s="6">
        <v>10042353</v>
      </c>
      <c r="C213" s="6">
        <v>2.6631</v>
      </c>
      <c r="D213" s="6">
        <v>267000</v>
      </c>
      <c r="E213" s="6">
        <v>437</v>
      </c>
      <c r="F213" s="6">
        <v>246</v>
      </c>
    </row>
    <row r="214" spans="1:6" x14ac:dyDescent="0.3">
      <c r="A214" s="5" t="s">
        <v>2544</v>
      </c>
      <c r="B214" s="6">
        <v>54642458</v>
      </c>
      <c r="C214" s="6">
        <v>1.6616</v>
      </c>
      <c r="D214" s="6">
        <v>905000</v>
      </c>
      <c r="E214" s="6">
        <v>2941</v>
      </c>
      <c r="F214" s="6">
        <v>246</v>
      </c>
    </row>
    <row r="215" spans="1:6" x14ac:dyDescent="0.3">
      <c r="A215" s="5" t="s">
        <v>41</v>
      </c>
      <c r="B215" s="6">
        <v>1535610</v>
      </c>
      <c r="C215" s="6">
        <v>1.8230999999999999</v>
      </c>
      <c r="D215" s="6">
        <v>26000</v>
      </c>
      <c r="E215" s="6">
        <v>1996</v>
      </c>
      <c r="F215" s="6">
        <v>243</v>
      </c>
    </row>
    <row r="216" spans="1:6" x14ac:dyDescent="0.3">
      <c r="A216" s="5" t="s">
        <v>226</v>
      </c>
      <c r="B216" s="6">
        <v>3468466</v>
      </c>
      <c r="C216" s="6">
        <v>1.0729</v>
      </c>
      <c r="D216" s="6">
        <v>36000</v>
      </c>
      <c r="E216" s="6">
        <v>1212</v>
      </c>
      <c r="F216" s="6">
        <v>242</v>
      </c>
    </row>
    <row r="217" spans="1:6" x14ac:dyDescent="0.3">
      <c r="A217" s="5" t="s">
        <v>953</v>
      </c>
      <c r="B217" s="6">
        <v>12845998</v>
      </c>
      <c r="C217" s="6">
        <v>2.2854000000000001</v>
      </c>
      <c r="D217" s="6">
        <v>291000</v>
      </c>
      <c r="E217" s="6">
        <v>2579</v>
      </c>
      <c r="F217" s="6">
        <v>240</v>
      </c>
    </row>
    <row r="218" spans="1:6" x14ac:dyDescent="0.3">
      <c r="A218" s="5" t="s">
        <v>1245</v>
      </c>
      <c r="B218" s="6">
        <v>39062494</v>
      </c>
      <c r="C218" s="6">
        <v>1.6067</v>
      </c>
      <c r="D218" s="6">
        <v>569000</v>
      </c>
      <c r="E218" s="6">
        <v>1386.5</v>
      </c>
      <c r="F218" s="6">
        <v>237.5</v>
      </c>
    </row>
    <row r="219" spans="1:6" x14ac:dyDescent="0.3">
      <c r="A219" s="5" t="s">
        <v>896</v>
      </c>
      <c r="B219" s="6">
        <v>72043453</v>
      </c>
      <c r="C219" s="6">
        <v>0.38800000000000001</v>
      </c>
      <c r="D219" s="6">
        <v>276000</v>
      </c>
      <c r="E219" s="6">
        <v>3507</v>
      </c>
      <c r="F219" s="6">
        <v>236</v>
      </c>
    </row>
    <row r="220" spans="1:6" x14ac:dyDescent="0.3">
      <c r="A220" s="5" t="s">
        <v>973</v>
      </c>
      <c r="B220" s="6">
        <v>42194316</v>
      </c>
      <c r="C220" s="6">
        <v>1.9381999999999999</v>
      </c>
      <c r="D220" s="6">
        <v>811000</v>
      </c>
      <c r="E220" s="6">
        <v>6795</v>
      </c>
      <c r="F220" s="6">
        <v>234</v>
      </c>
    </row>
    <row r="221" spans="1:6" x14ac:dyDescent="0.3">
      <c r="A221" s="5" t="s">
        <v>1830</v>
      </c>
      <c r="B221" s="6">
        <v>39287987</v>
      </c>
      <c r="C221" s="6">
        <v>1.901</v>
      </c>
      <c r="D221" s="6">
        <v>719000</v>
      </c>
      <c r="E221" s="6">
        <v>27877</v>
      </c>
      <c r="F221" s="6">
        <v>232</v>
      </c>
    </row>
    <row r="222" spans="1:6" x14ac:dyDescent="0.3">
      <c r="A222" s="5" t="s">
        <v>1890</v>
      </c>
      <c r="B222" s="6">
        <v>166012994</v>
      </c>
      <c r="C222" s="6">
        <v>0.52470000000000006</v>
      </c>
      <c r="D222" s="6">
        <v>869000</v>
      </c>
      <c r="E222" s="6">
        <v>2049</v>
      </c>
      <c r="F222" s="6">
        <v>232</v>
      </c>
    </row>
    <row r="223" spans="1:6" x14ac:dyDescent="0.3">
      <c r="A223" s="5" t="s">
        <v>1371</v>
      </c>
      <c r="B223" s="6">
        <v>50101158</v>
      </c>
      <c r="C223" s="6">
        <v>0.46760000000000002</v>
      </c>
      <c r="D223" s="6">
        <v>233000</v>
      </c>
      <c r="E223" s="6">
        <v>1255</v>
      </c>
      <c r="F223" s="6">
        <v>232</v>
      </c>
    </row>
    <row r="224" spans="1:6" x14ac:dyDescent="0.3">
      <c r="A224" s="5" t="s">
        <v>118</v>
      </c>
      <c r="B224" s="6">
        <v>22963928</v>
      </c>
      <c r="C224" s="6">
        <v>1.2218</v>
      </c>
      <c r="D224" s="6">
        <v>280000</v>
      </c>
      <c r="E224" s="6">
        <v>583</v>
      </c>
      <c r="F224" s="6">
        <v>228</v>
      </c>
    </row>
    <row r="225" spans="1:6" x14ac:dyDescent="0.3">
      <c r="A225" s="5" t="s">
        <v>860</v>
      </c>
      <c r="B225" s="6">
        <v>204505</v>
      </c>
      <c r="C225" s="6">
        <v>5.1867000000000001</v>
      </c>
      <c r="D225" s="6">
        <v>10000</v>
      </c>
      <c r="E225" s="6">
        <v>607</v>
      </c>
      <c r="F225" s="6">
        <v>226</v>
      </c>
    </row>
    <row r="226" spans="1:6" x14ac:dyDescent="0.3">
      <c r="A226" s="5" t="s">
        <v>517</v>
      </c>
      <c r="B226" s="6">
        <v>5888267</v>
      </c>
      <c r="C226" s="6">
        <v>0.18609999999999999</v>
      </c>
      <c r="D226" s="6">
        <v>10500</v>
      </c>
      <c r="E226" s="6">
        <v>124.5</v>
      </c>
      <c r="F226" s="6">
        <v>225.5</v>
      </c>
    </row>
    <row r="227" spans="1:6" x14ac:dyDescent="0.3">
      <c r="A227" s="5" t="s">
        <v>405</v>
      </c>
      <c r="B227" s="6">
        <v>11331776</v>
      </c>
      <c r="C227" s="6">
        <v>0.53849999999999998</v>
      </c>
      <c r="D227" s="6">
        <v>60000</v>
      </c>
      <c r="E227" s="6">
        <v>1022</v>
      </c>
      <c r="F227" s="6">
        <v>224</v>
      </c>
    </row>
    <row r="228" spans="1:6" x14ac:dyDescent="0.3">
      <c r="A228" s="5" t="s">
        <v>502</v>
      </c>
      <c r="B228" s="6">
        <v>22611824</v>
      </c>
      <c r="C228" s="6">
        <v>2.2503000000000002</v>
      </c>
      <c r="D228" s="6">
        <v>503000</v>
      </c>
      <c r="E228" s="6">
        <v>5838</v>
      </c>
      <c r="F228" s="6">
        <v>222</v>
      </c>
    </row>
    <row r="229" spans="1:6" x14ac:dyDescent="0.3">
      <c r="A229" s="5" t="s">
        <v>169</v>
      </c>
      <c r="B229" s="6">
        <v>10831661.6</v>
      </c>
      <c r="C229" s="6">
        <v>1.3894</v>
      </c>
      <c r="D229" s="6">
        <v>70400</v>
      </c>
      <c r="E229" s="6">
        <v>2361</v>
      </c>
      <c r="F229" s="6">
        <v>220.8</v>
      </c>
    </row>
    <row r="230" spans="1:6" x14ac:dyDescent="0.3">
      <c r="A230" s="5" t="s">
        <v>811</v>
      </c>
      <c r="B230" s="6">
        <v>406412</v>
      </c>
      <c r="C230" s="6">
        <v>13.3001</v>
      </c>
      <c r="D230" s="6">
        <v>45000</v>
      </c>
      <c r="E230" s="6">
        <v>9053</v>
      </c>
      <c r="F230" s="6">
        <v>220</v>
      </c>
    </row>
    <row r="231" spans="1:6" x14ac:dyDescent="0.3">
      <c r="A231" s="5" t="s">
        <v>998</v>
      </c>
      <c r="B231" s="6">
        <v>29239661</v>
      </c>
      <c r="C231" s="6">
        <v>3.5000000000000001E-3</v>
      </c>
      <c r="D231" s="6">
        <v>0</v>
      </c>
      <c r="E231" s="6">
        <v>1016</v>
      </c>
      <c r="F231" s="6">
        <v>219</v>
      </c>
    </row>
    <row r="232" spans="1:6" x14ac:dyDescent="0.3">
      <c r="A232" s="5" t="s">
        <v>945</v>
      </c>
      <c r="B232" s="6">
        <v>5786058</v>
      </c>
      <c r="C232" s="6">
        <v>2.0257999999999998</v>
      </c>
      <c r="D232" s="6">
        <v>116000</v>
      </c>
      <c r="E232" s="6">
        <v>1216</v>
      </c>
      <c r="F232" s="6">
        <v>218</v>
      </c>
    </row>
    <row r="233" spans="1:6" x14ac:dyDescent="0.3">
      <c r="A233" s="5" t="s">
        <v>320</v>
      </c>
      <c r="B233" s="6">
        <v>16245097.333333334</v>
      </c>
      <c r="C233" s="6">
        <v>2.0933999999999999</v>
      </c>
      <c r="D233" s="6">
        <v>128866.66666666667</v>
      </c>
      <c r="E233" s="6">
        <v>6034.166666666667</v>
      </c>
      <c r="F233" s="6">
        <v>216.16666666666666</v>
      </c>
    </row>
    <row r="234" spans="1:6" x14ac:dyDescent="0.3">
      <c r="A234" s="5" t="s">
        <v>1407</v>
      </c>
      <c r="B234" s="6">
        <v>117263739.16666667</v>
      </c>
      <c r="C234" s="6">
        <v>2.0979000000000001</v>
      </c>
      <c r="D234" s="6">
        <v>1224833.3333333333</v>
      </c>
      <c r="E234" s="6">
        <v>543</v>
      </c>
      <c r="F234" s="6">
        <v>214.66666666666666</v>
      </c>
    </row>
    <row r="235" spans="1:6" x14ac:dyDescent="0.3">
      <c r="A235" s="5" t="s">
        <v>1167</v>
      </c>
      <c r="B235" s="6">
        <v>160113315</v>
      </c>
      <c r="C235" s="6">
        <v>0.6875</v>
      </c>
      <c r="D235" s="6">
        <v>1100000</v>
      </c>
      <c r="E235" s="6">
        <v>741</v>
      </c>
      <c r="F235" s="6">
        <v>214</v>
      </c>
    </row>
    <row r="236" spans="1:6" x14ac:dyDescent="0.3">
      <c r="A236" s="5" t="s">
        <v>270</v>
      </c>
      <c r="B236" s="6">
        <v>2871793</v>
      </c>
      <c r="C236" s="6">
        <v>1.7262</v>
      </c>
      <c r="D236" s="6">
        <v>41500</v>
      </c>
      <c r="E236" s="6">
        <v>1997</v>
      </c>
      <c r="F236" s="6">
        <v>208</v>
      </c>
    </row>
    <row r="237" spans="1:6" x14ac:dyDescent="0.3">
      <c r="A237" s="5" t="s">
        <v>1399</v>
      </c>
      <c r="B237" s="6">
        <v>15748916</v>
      </c>
      <c r="C237" s="6">
        <v>0.33019999999999999</v>
      </c>
      <c r="D237" s="6">
        <v>52000</v>
      </c>
      <c r="E237" s="6">
        <v>0</v>
      </c>
      <c r="F237" s="6">
        <v>208</v>
      </c>
    </row>
    <row r="238" spans="1:6" x14ac:dyDescent="0.3">
      <c r="A238" s="5" t="s">
        <v>1375</v>
      </c>
      <c r="B238" s="6">
        <v>21190203</v>
      </c>
      <c r="C238" s="6">
        <v>0.49120000000000003</v>
      </c>
      <c r="D238" s="6">
        <v>104000</v>
      </c>
      <c r="E238" s="6">
        <v>92</v>
      </c>
      <c r="F238" s="6">
        <v>207</v>
      </c>
    </row>
    <row r="239" spans="1:6" x14ac:dyDescent="0.3">
      <c r="A239" s="5" t="s">
        <v>1704</v>
      </c>
      <c r="B239" s="6">
        <v>37538995</v>
      </c>
      <c r="C239" s="6">
        <v>0.55220000000000002</v>
      </c>
      <c r="D239" s="6">
        <v>207000</v>
      </c>
      <c r="E239" s="6">
        <v>301</v>
      </c>
      <c r="F239" s="6">
        <v>206</v>
      </c>
    </row>
    <row r="240" spans="1:6" x14ac:dyDescent="0.3">
      <c r="A240" s="5" t="s">
        <v>1818</v>
      </c>
      <c r="B240" s="6">
        <v>25617875</v>
      </c>
      <c r="C240" s="6">
        <v>1.2716000000000001</v>
      </c>
      <c r="D240" s="6">
        <v>325000</v>
      </c>
      <c r="E240" s="6">
        <v>754</v>
      </c>
      <c r="F240" s="6">
        <v>206</v>
      </c>
    </row>
    <row r="241" spans="1:6" x14ac:dyDescent="0.3">
      <c r="A241" s="5" t="s">
        <v>469</v>
      </c>
      <c r="B241" s="6">
        <v>434653</v>
      </c>
      <c r="C241" s="6">
        <v>3.0228999999999999</v>
      </c>
      <c r="D241" s="6">
        <v>12000</v>
      </c>
      <c r="E241" s="6">
        <v>1139</v>
      </c>
      <c r="F241" s="6">
        <v>206</v>
      </c>
    </row>
    <row r="242" spans="1:6" x14ac:dyDescent="0.3">
      <c r="A242" s="5" t="s">
        <v>2088</v>
      </c>
      <c r="B242" s="6">
        <v>23525372</v>
      </c>
      <c r="C242" s="6">
        <v>1.3560000000000001</v>
      </c>
      <c r="D242" s="6">
        <v>318000</v>
      </c>
      <c r="E242" s="6">
        <v>1012</v>
      </c>
      <c r="F242" s="6">
        <v>205</v>
      </c>
    </row>
    <row r="243" spans="1:6" x14ac:dyDescent="0.3">
      <c r="A243" s="5" t="s">
        <v>37</v>
      </c>
      <c r="B243" s="6">
        <v>1423891</v>
      </c>
      <c r="C243" s="6">
        <v>1.635</v>
      </c>
      <c r="D243" s="6">
        <v>10500</v>
      </c>
      <c r="E243" s="6">
        <v>1879.5</v>
      </c>
      <c r="F243" s="6">
        <v>205</v>
      </c>
    </row>
    <row r="244" spans="1:6" x14ac:dyDescent="0.3">
      <c r="A244" s="5" t="s">
        <v>21</v>
      </c>
      <c r="B244" s="6">
        <v>210157</v>
      </c>
      <c r="C244" s="6">
        <v>4.3819999999999997</v>
      </c>
      <c r="D244" s="6">
        <v>6950</v>
      </c>
      <c r="E244" s="6">
        <v>572.5</v>
      </c>
      <c r="F244" s="6">
        <v>202</v>
      </c>
    </row>
    <row r="245" spans="1:6" x14ac:dyDescent="0.3">
      <c r="A245" s="5" t="s">
        <v>13</v>
      </c>
      <c r="B245" s="6">
        <v>23945</v>
      </c>
      <c r="C245" s="6">
        <v>4.1010999999999997</v>
      </c>
      <c r="D245" s="6">
        <v>862</v>
      </c>
      <c r="E245" s="6">
        <v>120</v>
      </c>
      <c r="F245" s="6">
        <v>201</v>
      </c>
    </row>
    <row r="246" spans="1:6" x14ac:dyDescent="0.3">
      <c r="A246" s="5" t="s">
        <v>1379</v>
      </c>
      <c r="B246" s="6">
        <v>4903044.666666667</v>
      </c>
      <c r="C246" s="6">
        <v>4.6833</v>
      </c>
      <c r="D246" s="6">
        <v>120666.66666666667</v>
      </c>
      <c r="E246" s="6">
        <v>282.33333333333331</v>
      </c>
      <c r="F246" s="6">
        <v>200.66666666666666</v>
      </c>
    </row>
    <row r="247" spans="1:6" x14ac:dyDescent="0.3">
      <c r="A247" s="5" t="s">
        <v>2429</v>
      </c>
      <c r="B247" s="6">
        <v>15004408</v>
      </c>
      <c r="C247" s="6">
        <v>1.4953000000000001</v>
      </c>
      <c r="D247" s="6">
        <v>224000</v>
      </c>
      <c r="E247" s="6">
        <v>357</v>
      </c>
      <c r="F247" s="6">
        <v>199</v>
      </c>
    </row>
    <row r="248" spans="1:6" x14ac:dyDescent="0.3">
      <c r="A248" s="5" t="s">
        <v>941</v>
      </c>
      <c r="B248" s="6">
        <v>243828452</v>
      </c>
      <c r="C248" s="6">
        <v>0.38250000000000001</v>
      </c>
      <c r="D248" s="6">
        <v>932000</v>
      </c>
      <c r="E248" s="6">
        <v>764</v>
      </c>
      <c r="F248" s="6">
        <v>199</v>
      </c>
    </row>
    <row r="249" spans="1:6" x14ac:dyDescent="0.3">
      <c r="A249" s="5" t="s">
        <v>1145</v>
      </c>
      <c r="B249" s="6">
        <v>43333937</v>
      </c>
      <c r="C249" s="6">
        <v>1.4160999999999999</v>
      </c>
      <c r="D249" s="6">
        <v>612000</v>
      </c>
      <c r="E249" s="6">
        <v>1654</v>
      </c>
      <c r="F249" s="6">
        <v>196</v>
      </c>
    </row>
    <row r="250" spans="1:6" x14ac:dyDescent="0.3">
      <c r="A250" s="5" t="s">
        <v>1594</v>
      </c>
      <c r="B250" s="6">
        <v>42427881</v>
      </c>
      <c r="C250" s="6">
        <v>2.1385999999999998</v>
      </c>
      <c r="D250" s="6">
        <v>857500</v>
      </c>
      <c r="E250" s="6">
        <v>1875.5</v>
      </c>
      <c r="F250" s="6">
        <v>195</v>
      </c>
    </row>
    <row r="251" spans="1:6" x14ac:dyDescent="0.3">
      <c r="A251" s="5" t="s">
        <v>130</v>
      </c>
      <c r="B251" s="6">
        <v>4203923</v>
      </c>
      <c r="C251" s="6">
        <v>2.3803000000000001</v>
      </c>
      <c r="D251" s="6">
        <v>99000</v>
      </c>
      <c r="E251" s="6">
        <v>1066</v>
      </c>
      <c r="F251" s="6">
        <v>194</v>
      </c>
    </row>
    <row r="252" spans="1:6" x14ac:dyDescent="0.3">
      <c r="A252" s="5" t="s">
        <v>2036</v>
      </c>
      <c r="B252" s="6">
        <v>37682337</v>
      </c>
      <c r="C252" s="6">
        <v>0.61209999999999998</v>
      </c>
      <c r="D252" s="6">
        <v>230000</v>
      </c>
      <c r="E252" s="6">
        <v>653</v>
      </c>
      <c r="F252" s="6">
        <v>193</v>
      </c>
    </row>
    <row r="253" spans="1:6" x14ac:dyDescent="0.3">
      <c r="A253" s="5" t="s">
        <v>1986</v>
      </c>
      <c r="B253" s="6">
        <v>26700022</v>
      </c>
      <c r="C253" s="6">
        <v>0.94469999999999998</v>
      </c>
      <c r="D253" s="6">
        <v>251000</v>
      </c>
      <c r="E253" s="6">
        <v>1225</v>
      </c>
      <c r="F253" s="6">
        <v>192</v>
      </c>
    </row>
    <row r="254" spans="1:6" x14ac:dyDescent="0.3">
      <c r="A254" s="5" t="s">
        <v>1834</v>
      </c>
      <c r="B254" s="6">
        <v>827185</v>
      </c>
      <c r="C254" s="6">
        <v>3.7551000000000001</v>
      </c>
      <c r="D254" s="6">
        <v>23000</v>
      </c>
      <c r="E254" s="6">
        <v>8062</v>
      </c>
      <c r="F254" s="6">
        <v>191</v>
      </c>
    </row>
    <row r="255" spans="1:6" x14ac:dyDescent="0.3">
      <c r="A255" s="5" t="s">
        <v>2456</v>
      </c>
      <c r="B255" s="6">
        <v>2792422</v>
      </c>
      <c r="C255" s="6">
        <v>2.0478999999999998</v>
      </c>
      <c r="D255" s="6">
        <v>57000</v>
      </c>
      <c r="E255" s="6">
        <v>185</v>
      </c>
      <c r="F255" s="6">
        <v>191</v>
      </c>
    </row>
    <row r="256" spans="1:6" x14ac:dyDescent="0.3">
      <c r="A256" s="5" t="s">
        <v>900</v>
      </c>
      <c r="B256" s="6">
        <v>1431284</v>
      </c>
      <c r="C256" s="6">
        <v>2.8039999999999998</v>
      </c>
      <c r="D256" s="6">
        <v>35000</v>
      </c>
      <c r="E256" s="6">
        <v>5133</v>
      </c>
      <c r="F256" s="6">
        <v>190</v>
      </c>
    </row>
    <row r="257" spans="1:6" x14ac:dyDescent="0.3">
      <c r="A257" s="5" t="s">
        <v>45</v>
      </c>
      <c r="B257" s="6">
        <v>1224806</v>
      </c>
      <c r="C257" s="6">
        <v>0.41110000000000002</v>
      </c>
      <c r="D257" s="6">
        <v>4700</v>
      </c>
      <c r="E257" s="6">
        <v>335</v>
      </c>
      <c r="F257" s="6">
        <v>188</v>
      </c>
    </row>
    <row r="258" spans="1:6" x14ac:dyDescent="0.3">
      <c r="A258" s="5" t="s">
        <v>557</v>
      </c>
      <c r="B258" s="6">
        <v>1919497</v>
      </c>
      <c r="C258" s="6">
        <v>0.1263</v>
      </c>
      <c r="D258" s="6">
        <v>2400</v>
      </c>
      <c r="E258" s="6">
        <v>24</v>
      </c>
      <c r="F258" s="6">
        <v>188</v>
      </c>
    </row>
    <row r="259" spans="1:6" x14ac:dyDescent="0.3">
      <c r="A259" s="5" t="s">
        <v>1723</v>
      </c>
      <c r="B259" s="6">
        <v>2808481</v>
      </c>
      <c r="C259" s="6">
        <v>1.8010999999999999</v>
      </c>
      <c r="D259" s="6">
        <v>47000</v>
      </c>
      <c r="E259" s="6">
        <v>3583</v>
      </c>
      <c r="F259" s="6">
        <v>188</v>
      </c>
    </row>
    <row r="260" spans="1:6" x14ac:dyDescent="0.3">
      <c r="A260" s="5" t="s">
        <v>352</v>
      </c>
      <c r="B260" s="6">
        <v>738170</v>
      </c>
      <c r="C260" s="6">
        <v>2.6444000000000001</v>
      </c>
      <c r="D260" s="6">
        <v>18000</v>
      </c>
      <c r="E260" s="6">
        <v>1520</v>
      </c>
      <c r="F260" s="6">
        <v>187</v>
      </c>
    </row>
    <row r="261" spans="1:6" x14ac:dyDescent="0.3">
      <c r="A261" s="5" t="s">
        <v>1806</v>
      </c>
      <c r="B261" s="6">
        <v>25153497</v>
      </c>
      <c r="C261" s="6">
        <v>0.77980000000000005</v>
      </c>
      <c r="D261" s="6">
        <v>196000</v>
      </c>
      <c r="E261" s="6">
        <v>148</v>
      </c>
      <c r="F261" s="6">
        <v>187</v>
      </c>
    </row>
    <row r="262" spans="1:6" x14ac:dyDescent="0.3">
      <c r="A262" s="5" t="s">
        <v>1461</v>
      </c>
      <c r="B262" s="6">
        <v>14624566</v>
      </c>
      <c r="C262" s="6">
        <v>0.63529999999999998</v>
      </c>
      <c r="D262" s="6">
        <v>92000</v>
      </c>
      <c r="E262" s="6">
        <v>904</v>
      </c>
      <c r="F262" s="6">
        <v>186</v>
      </c>
    </row>
    <row r="263" spans="1:6" x14ac:dyDescent="0.3">
      <c r="A263" s="5" t="s">
        <v>177</v>
      </c>
      <c r="B263" s="6">
        <v>14761306</v>
      </c>
      <c r="C263" s="6">
        <v>3.0691000000000002</v>
      </c>
      <c r="D263" s="6">
        <v>452000</v>
      </c>
      <c r="E263" s="6">
        <v>1042</v>
      </c>
      <c r="F263" s="6">
        <v>186</v>
      </c>
    </row>
    <row r="264" spans="1:6" x14ac:dyDescent="0.3">
      <c r="A264" s="5" t="s">
        <v>1359</v>
      </c>
      <c r="B264" s="6">
        <v>66637425.25</v>
      </c>
      <c r="C264" s="6">
        <v>2.6968999999999999</v>
      </c>
      <c r="D264" s="6">
        <v>719500</v>
      </c>
      <c r="E264" s="6">
        <v>3159.75</v>
      </c>
      <c r="F264" s="6">
        <v>184.5</v>
      </c>
    </row>
    <row r="265" spans="1:6" x14ac:dyDescent="0.3">
      <c r="A265" s="5" t="s">
        <v>309</v>
      </c>
      <c r="B265" s="6">
        <v>13524916.4</v>
      </c>
      <c r="C265" s="6">
        <v>3.9937999999999998</v>
      </c>
      <c r="D265" s="6">
        <v>232200</v>
      </c>
      <c r="E265" s="6">
        <v>3326.6</v>
      </c>
      <c r="F265" s="6">
        <v>184</v>
      </c>
    </row>
    <row r="266" spans="1:6" x14ac:dyDescent="0.3">
      <c r="A266" s="5" t="s">
        <v>1085</v>
      </c>
      <c r="B266" s="6">
        <v>17441151</v>
      </c>
      <c r="C266" s="6">
        <v>0.18010000000000001</v>
      </c>
      <c r="D266" s="6">
        <v>30000</v>
      </c>
      <c r="E266" s="6">
        <v>1405</v>
      </c>
      <c r="F266" s="6">
        <v>181</v>
      </c>
    </row>
    <row r="267" spans="1:6" x14ac:dyDescent="0.3">
      <c r="A267" s="5" t="s">
        <v>216</v>
      </c>
      <c r="B267" s="6">
        <v>145364</v>
      </c>
      <c r="C267" s="6">
        <v>8.5484000000000009</v>
      </c>
      <c r="D267" s="6">
        <v>7126.333333333333</v>
      </c>
      <c r="E267" s="6">
        <v>3003.3333333333335</v>
      </c>
      <c r="F267" s="6">
        <v>181</v>
      </c>
    </row>
    <row r="268" spans="1:6" x14ac:dyDescent="0.3">
      <c r="A268" s="5" t="s">
        <v>2353</v>
      </c>
      <c r="B268" s="6">
        <v>88275</v>
      </c>
      <c r="C268" s="6">
        <v>1.1453</v>
      </c>
      <c r="D268" s="6">
        <v>1000</v>
      </c>
      <c r="E268" s="6">
        <v>11</v>
      </c>
      <c r="F268" s="6">
        <v>181</v>
      </c>
    </row>
    <row r="269" spans="1:6" x14ac:dyDescent="0.3">
      <c r="A269" s="5" t="s">
        <v>1213</v>
      </c>
      <c r="B269" s="6">
        <v>109863598</v>
      </c>
      <c r="C269" s="6">
        <v>1.6000000000000001E-3</v>
      </c>
      <c r="D269" s="6">
        <v>0</v>
      </c>
      <c r="E269" s="6">
        <v>1734</v>
      </c>
      <c r="F269" s="6">
        <v>177</v>
      </c>
    </row>
    <row r="270" spans="1:6" x14ac:dyDescent="0.3">
      <c r="A270" s="5" t="s">
        <v>1403</v>
      </c>
      <c r="B270" s="6">
        <v>48090898.5</v>
      </c>
      <c r="C270" s="6">
        <v>1.4428000000000001</v>
      </c>
      <c r="D270" s="6">
        <v>676500</v>
      </c>
      <c r="E270" s="6">
        <v>1302.5</v>
      </c>
      <c r="F270" s="6">
        <v>176.5</v>
      </c>
    </row>
    <row r="271" spans="1:6" x14ac:dyDescent="0.3">
      <c r="A271" s="5" t="s">
        <v>599</v>
      </c>
      <c r="B271" s="6">
        <v>2423178.75</v>
      </c>
      <c r="C271" s="6">
        <v>0.73550000000000004</v>
      </c>
      <c r="D271" s="6">
        <v>10100</v>
      </c>
      <c r="E271" s="6">
        <v>395.5</v>
      </c>
      <c r="F271" s="6">
        <v>175.75</v>
      </c>
    </row>
    <row r="272" spans="1:6" x14ac:dyDescent="0.3">
      <c r="A272" s="5" t="s">
        <v>165</v>
      </c>
      <c r="B272" s="6">
        <v>64356392</v>
      </c>
      <c r="C272" s="6">
        <v>1.3798999999999999</v>
      </c>
      <c r="D272" s="6">
        <v>886000</v>
      </c>
      <c r="E272" s="6">
        <v>2050</v>
      </c>
      <c r="F272" s="6">
        <v>175</v>
      </c>
    </row>
    <row r="273" spans="1:6" x14ac:dyDescent="0.3">
      <c r="A273" s="5" t="s">
        <v>2185</v>
      </c>
      <c r="B273" s="6">
        <v>5672378</v>
      </c>
      <c r="C273" s="6">
        <v>3.6698</v>
      </c>
      <c r="D273" s="6">
        <v>206000</v>
      </c>
      <c r="E273" s="6">
        <v>2166</v>
      </c>
      <c r="F273" s="6">
        <v>174</v>
      </c>
    </row>
    <row r="274" spans="1:6" x14ac:dyDescent="0.3">
      <c r="A274" s="5" t="s">
        <v>465</v>
      </c>
      <c r="B274" s="6">
        <v>14100613</v>
      </c>
      <c r="C274" s="6">
        <v>1.298</v>
      </c>
      <c r="D274" s="6">
        <v>182000</v>
      </c>
      <c r="E274" s="6">
        <v>1027</v>
      </c>
      <c r="F274" s="6">
        <v>171</v>
      </c>
    </row>
    <row r="275" spans="1:6" x14ac:dyDescent="0.3">
      <c r="A275" s="5" t="s">
        <v>1149</v>
      </c>
      <c r="B275" s="6">
        <v>15029297</v>
      </c>
      <c r="C275" s="6">
        <v>1.8421000000000001</v>
      </c>
      <c r="D275" s="6">
        <v>276000</v>
      </c>
      <c r="E275" s="6">
        <v>848</v>
      </c>
      <c r="F275" s="6">
        <v>169</v>
      </c>
    </row>
    <row r="276" spans="1:6" x14ac:dyDescent="0.3">
      <c r="A276" s="5" t="s">
        <v>837</v>
      </c>
      <c r="B276" s="6">
        <v>139021</v>
      </c>
      <c r="C276" s="6">
        <v>4.4654999999999996</v>
      </c>
      <c r="D276" s="6">
        <v>4000</v>
      </c>
      <c r="E276" s="6">
        <v>2208</v>
      </c>
      <c r="F276" s="6">
        <v>169</v>
      </c>
    </row>
    <row r="277" spans="1:6" x14ac:dyDescent="0.3">
      <c r="A277" s="5" t="s">
        <v>1123</v>
      </c>
      <c r="B277" s="6">
        <v>25408986</v>
      </c>
      <c r="C277" s="6">
        <v>0.3135</v>
      </c>
      <c r="D277" s="6">
        <v>69000</v>
      </c>
      <c r="E277" s="6">
        <v>3622.5</v>
      </c>
      <c r="F277" s="6">
        <v>164.5</v>
      </c>
    </row>
    <row r="278" spans="1:6" x14ac:dyDescent="0.3">
      <c r="A278" s="5" t="s">
        <v>2365</v>
      </c>
      <c r="B278" s="6">
        <v>10881774</v>
      </c>
      <c r="C278" s="6">
        <v>1.8675999999999999</v>
      </c>
      <c r="D278" s="6">
        <v>193000</v>
      </c>
      <c r="E278" s="6">
        <v>10228</v>
      </c>
      <c r="F278" s="6">
        <v>163</v>
      </c>
    </row>
    <row r="279" spans="1:6" x14ac:dyDescent="0.3">
      <c r="A279" s="5" t="s">
        <v>432</v>
      </c>
      <c r="B279" s="6">
        <v>817577.5</v>
      </c>
      <c r="C279" s="6">
        <v>0.49759999999999999</v>
      </c>
      <c r="D279" s="6">
        <v>2900</v>
      </c>
      <c r="E279" s="6">
        <v>128</v>
      </c>
      <c r="F279" s="6">
        <v>160.5</v>
      </c>
    </row>
    <row r="280" spans="1:6" x14ac:dyDescent="0.3">
      <c r="A280" s="5" t="s">
        <v>313</v>
      </c>
      <c r="B280" s="6">
        <v>3854779</v>
      </c>
      <c r="C280" s="6">
        <v>0.9506</v>
      </c>
      <c r="D280" s="6">
        <v>36000</v>
      </c>
      <c r="E280" s="6">
        <v>645</v>
      </c>
      <c r="F280" s="6">
        <v>160</v>
      </c>
    </row>
    <row r="281" spans="1:6" x14ac:dyDescent="0.3">
      <c r="A281" s="5" t="s">
        <v>2448</v>
      </c>
      <c r="B281" s="6">
        <v>6572626.666666667</v>
      </c>
      <c r="C281" s="6">
        <v>1.9398</v>
      </c>
      <c r="D281" s="6">
        <v>59000</v>
      </c>
      <c r="E281" s="6">
        <v>152.66666666666666</v>
      </c>
      <c r="F281" s="6">
        <v>159.33333333333334</v>
      </c>
    </row>
    <row r="282" spans="1:6" x14ac:dyDescent="0.3">
      <c r="A282" s="5" t="s">
        <v>29</v>
      </c>
      <c r="B282" s="6">
        <v>1617725.7142857143</v>
      </c>
      <c r="C282" s="6">
        <v>1.0672999999999999</v>
      </c>
      <c r="D282" s="6">
        <v>10257.142857142857</v>
      </c>
      <c r="E282" s="6">
        <v>412.28571428571428</v>
      </c>
      <c r="F282" s="6">
        <v>158.28571428571428</v>
      </c>
    </row>
    <row r="283" spans="1:6" x14ac:dyDescent="0.3">
      <c r="A283" s="5" t="s">
        <v>1315</v>
      </c>
      <c r="B283" s="6">
        <v>23753080</v>
      </c>
      <c r="C283" s="6">
        <v>0.48060000000000003</v>
      </c>
      <c r="D283" s="6">
        <v>114000</v>
      </c>
      <c r="E283" s="6">
        <v>155</v>
      </c>
      <c r="F283" s="6">
        <v>158</v>
      </c>
    </row>
    <row r="284" spans="1:6" x14ac:dyDescent="0.3">
      <c r="A284" s="5" t="s">
        <v>62</v>
      </c>
      <c r="B284" s="6">
        <v>233632</v>
      </c>
      <c r="C284" s="6">
        <v>6.32</v>
      </c>
      <c r="D284" s="6">
        <v>9925</v>
      </c>
      <c r="E284" s="6">
        <v>705.5</v>
      </c>
      <c r="F284" s="6">
        <v>157.25</v>
      </c>
    </row>
    <row r="285" spans="1:6" x14ac:dyDescent="0.3">
      <c r="A285" s="5" t="s">
        <v>730</v>
      </c>
      <c r="B285" s="6">
        <v>1737473</v>
      </c>
      <c r="C285" s="6">
        <v>1.6520999999999999</v>
      </c>
      <c r="D285" s="6">
        <v>9500</v>
      </c>
      <c r="E285" s="6">
        <v>61</v>
      </c>
      <c r="F285" s="6">
        <v>156.5</v>
      </c>
    </row>
    <row r="286" spans="1:6" x14ac:dyDescent="0.3">
      <c r="A286" s="5" t="s">
        <v>2464</v>
      </c>
      <c r="B286" s="6">
        <v>5322012</v>
      </c>
      <c r="C286" s="6">
        <v>0.90639999999999998</v>
      </c>
      <c r="D286" s="6">
        <v>48000</v>
      </c>
      <c r="E286" s="6">
        <v>239</v>
      </c>
      <c r="F286" s="6">
        <v>156</v>
      </c>
    </row>
    <row r="287" spans="1:6" x14ac:dyDescent="0.3">
      <c r="A287" s="5" t="s">
        <v>567</v>
      </c>
      <c r="B287" s="6">
        <v>1113295</v>
      </c>
      <c r="C287" s="6">
        <v>4.4699</v>
      </c>
      <c r="D287" s="6">
        <v>33900</v>
      </c>
      <c r="E287" s="6">
        <v>9043.5</v>
      </c>
      <c r="F287" s="6">
        <v>155.5</v>
      </c>
    </row>
    <row r="288" spans="1:6" x14ac:dyDescent="0.3">
      <c r="A288" s="5" t="s">
        <v>1814</v>
      </c>
      <c r="B288" s="6">
        <v>82566866</v>
      </c>
      <c r="C288" s="6">
        <v>1.2122999999999999</v>
      </c>
      <c r="D288" s="6">
        <v>1000000</v>
      </c>
      <c r="E288" s="6">
        <v>938</v>
      </c>
      <c r="F288" s="6">
        <v>155</v>
      </c>
    </row>
    <row r="289" spans="1:6" x14ac:dyDescent="0.3">
      <c r="A289" s="5" t="s">
        <v>2554</v>
      </c>
      <c r="B289" s="6">
        <v>41899666</v>
      </c>
      <c r="C289" s="6">
        <v>1.599</v>
      </c>
      <c r="D289" s="6">
        <v>668000</v>
      </c>
      <c r="E289" s="6">
        <v>1964</v>
      </c>
      <c r="F289" s="6">
        <v>154</v>
      </c>
    </row>
    <row r="290" spans="1:6" x14ac:dyDescent="0.3">
      <c r="A290" s="5" t="s">
        <v>853</v>
      </c>
      <c r="B290" s="6">
        <v>691887</v>
      </c>
      <c r="C290" s="6">
        <v>8.9999999999999993E-3</v>
      </c>
      <c r="D290" s="6">
        <v>0</v>
      </c>
      <c r="E290" s="6">
        <v>62</v>
      </c>
      <c r="F290" s="6">
        <v>154</v>
      </c>
    </row>
    <row r="291" spans="1:6" x14ac:dyDescent="0.3">
      <c r="A291" s="5" t="s">
        <v>1100</v>
      </c>
      <c r="B291" s="6">
        <v>56574273</v>
      </c>
      <c r="C291" s="6">
        <v>1.3747</v>
      </c>
      <c r="D291" s="6">
        <v>776000</v>
      </c>
      <c r="E291" s="6">
        <v>1738</v>
      </c>
      <c r="F291" s="6">
        <v>154</v>
      </c>
    </row>
    <row r="292" spans="1:6" x14ac:dyDescent="0.3">
      <c r="A292" s="5" t="s">
        <v>738</v>
      </c>
      <c r="B292" s="6">
        <v>353408</v>
      </c>
      <c r="C292" s="6">
        <v>2.3247</v>
      </c>
      <c r="D292" s="6">
        <v>1214.5</v>
      </c>
      <c r="E292" s="6">
        <v>33</v>
      </c>
      <c r="F292" s="6">
        <v>153.5</v>
      </c>
    </row>
    <row r="293" spans="1:6" x14ac:dyDescent="0.3">
      <c r="A293" s="5" t="s">
        <v>2634</v>
      </c>
      <c r="B293" s="6">
        <v>59130244</v>
      </c>
      <c r="C293" s="6">
        <v>0.57550000000000001</v>
      </c>
      <c r="D293" s="6">
        <v>340000</v>
      </c>
      <c r="E293" s="6">
        <v>294</v>
      </c>
      <c r="F293" s="6">
        <v>152</v>
      </c>
    </row>
    <row r="294" spans="1:6" x14ac:dyDescent="0.3">
      <c r="A294" s="5" t="s">
        <v>2609</v>
      </c>
      <c r="B294" s="6">
        <v>6852368</v>
      </c>
      <c r="C294" s="6">
        <v>3.1105</v>
      </c>
      <c r="D294" s="6">
        <v>213000</v>
      </c>
      <c r="E294" s="6">
        <v>144</v>
      </c>
      <c r="F294" s="6">
        <v>151</v>
      </c>
    </row>
    <row r="295" spans="1:6" x14ac:dyDescent="0.3">
      <c r="A295" s="5" t="s">
        <v>965</v>
      </c>
      <c r="B295" s="6">
        <v>94440221</v>
      </c>
      <c r="C295" s="6">
        <v>1.1674</v>
      </c>
      <c r="D295" s="6">
        <v>1100000</v>
      </c>
      <c r="E295" s="6">
        <v>2499</v>
      </c>
      <c r="F295" s="6">
        <v>149</v>
      </c>
    </row>
    <row r="296" spans="1:6" x14ac:dyDescent="0.3">
      <c r="A296" s="5" t="s">
        <v>571</v>
      </c>
      <c r="B296" s="6">
        <v>88976543</v>
      </c>
      <c r="C296" s="6">
        <v>5.96E-2</v>
      </c>
      <c r="D296" s="6">
        <v>52000</v>
      </c>
      <c r="E296" s="6">
        <v>987</v>
      </c>
      <c r="F296" s="6">
        <v>147</v>
      </c>
    </row>
    <row r="297" spans="1:6" x14ac:dyDescent="0.3">
      <c r="A297" s="5" t="s">
        <v>634</v>
      </c>
      <c r="B297" s="6">
        <v>383154</v>
      </c>
      <c r="C297" s="6">
        <v>1.5059</v>
      </c>
      <c r="D297" s="6">
        <v>5100</v>
      </c>
      <c r="E297" s="6">
        <v>670</v>
      </c>
      <c r="F297" s="6">
        <v>146</v>
      </c>
    </row>
    <row r="298" spans="1:6" x14ac:dyDescent="0.3">
      <c r="A298" s="5" t="s">
        <v>379</v>
      </c>
      <c r="B298" s="6">
        <v>253281</v>
      </c>
      <c r="C298" s="6">
        <v>1.7877000000000001</v>
      </c>
      <c r="D298" s="6">
        <v>4000</v>
      </c>
      <c r="E298" s="6">
        <v>528</v>
      </c>
      <c r="F298" s="6">
        <v>146</v>
      </c>
    </row>
    <row r="299" spans="1:6" x14ac:dyDescent="0.3">
      <c r="A299" s="5" t="s">
        <v>1696</v>
      </c>
      <c r="B299" s="6">
        <v>12922684</v>
      </c>
      <c r="C299" s="6">
        <v>1.2806999999999999</v>
      </c>
      <c r="D299" s="6">
        <v>164000</v>
      </c>
      <c r="E299" s="6">
        <v>1495</v>
      </c>
      <c r="F299" s="6">
        <v>145</v>
      </c>
    </row>
    <row r="300" spans="1:6" x14ac:dyDescent="0.3">
      <c r="A300" s="5" t="s">
        <v>763</v>
      </c>
      <c r="B300" s="6">
        <v>1418689</v>
      </c>
      <c r="C300" s="6">
        <v>0.63429999999999997</v>
      </c>
      <c r="D300" s="6">
        <v>8700</v>
      </c>
      <c r="E300" s="6">
        <v>299</v>
      </c>
      <c r="F300" s="6">
        <v>145</v>
      </c>
    </row>
    <row r="301" spans="1:6" x14ac:dyDescent="0.3">
      <c r="A301" s="5" t="s">
        <v>752</v>
      </c>
      <c r="B301" s="6">
        <v>400898</v>
      </c>
      <c r="C301" s="6">
        <v>1.0609</v>
      </c>
      <c r="D301" s="6">
        <v>4000</v>
      </c>
      <c r="E301" s="6">
        <v>253</v>
      </c>
      <c r="F301" s="6">
        <v>144</v>
      </c>
    </row>
    <row r="302" spans="1:6" x14ac:dyDescent="0.3">
      <c r="A302" s="5" t="s">
        <v>535</v>
      </c>
      <c r="B302" s="6">
        <v>295841.5</v>
      </c>
      <c r="C302" s="6">
        <v>5.1421999999999999</v>
      </c>
      <c r="D302" s="6">
        <v>9400</v>
      </c>
      <c r="E302" s="6">
        <v>2083.75</v>
      </c>
      <c r="F302" s="6">
        <v>137</v>
      </c>
    </row>
    <row r="303" spans="1:6" x14ac:dyDescent="0.3">
      <c r="A303" s="5" t="s">
        <v>451</v>
      </c>
      <c r="B303" s="6">
        <v>877824</v>
      </c>
      <c r="C303" s="6">
        <v>0.81269999999999998</v>
      </c>
      <c r="D303" s="6">
        <v>6900</v>
      </c>
      <c r="E303" s="6">
        <v>234</v>
      </c>
      <c r="F303" s="6">
        <v>133</v>
      </c>
    </row>
    <row r="304" spans="1:6" x14ac:dyDescent="0.3">
      <c r="A304" s="5" t="s">
        <v>1551</v>
      </c>
      <c r="B304" s="6">
        <v>197248</v>
      </c>
      <c r="C304" s="6">
        <v>4.8345000000000002</v>
      </c>
      <c r="D304" s="6">
        <v>8800</v>
      </c>
      <c r="E304" s="6">
        <v>736</v>
      </c>
      <c r="F304" s="6">
        <v>130</v>
      </c>
    </row>
    <row r="305" spans="1:6" x14ac:dyDescent="0.3">
      <c r="A305" s="5" t="s">
        <v>447</v>
      </c>
      <c r="B305" s="6">
        <v>472243.20000000001</v>
      </c>
      <c r="C305" s="6">
        <v>4.2390999999999996</v>
      </c>
      <c r="D305" s="6">
        <v>18000</v>
      </c>
      <c r="E305" s="6">
        <v>1291</v>
      </c>
      <c r="F305" s="6">
        <v>128</v>
      </c>
    </row>
    <row r="306" spans="1:6" x14ac:dyDescent="0.3">
      <c r="A306" s="5" t="s">
        <v>665</v>
      </c>
      <c r="B306" s="6">
        <v>11771019</v>
      </c>
      <c r="C306" s="6">
        <v>0.38990000000000002</v>
      </c>
      <c r="D306" s="6">
        <v>44000</v>
      </c>
      <c r="E306" s="6">
        <v>1897</v>
      </c>
      <c r="F306" s="6">
        <v>127</v>
      </c>
    </row>
    <row r="307" spans="1:6" x14ac:dyDescent="0.3">
      <c r="A307" s="5" t="s">
        <v>1559</v>
      </c>
      <c r="B307" s="6">
        <v>720129</v>
      </c>
      <c r="C307" s="6">
        <v>3.9693999999999998</v>
      </c>
      <c r="D307" s="6">
        <v>26000</v>
      </c>
      <c r="E307" s="6">
        <v>2585</v>
      </c>
      <c r="F307" s="6">
        <v>123</v>
      </c>
    </row>
    <row r="308" spans="1:6" x14ac:dyDescent="0.3">
      <c r="A308" s="5" t="s">
        <v>1268</v>
      </c>
      <c r="B308" s="6">
        <v>14932099</v>
      </c>
      <c r="C308" s="6">
        <v>3.2728000000000002</v>
      </c>
      <c r="D308" s="6">
        <v>229000</v>
      </c>
      <c r="E308" s="6">
        <v>2149</v>
      </c>
      <c r="F308" s="6">
        <v>122.5</v>
      </c>
    </row>
    <row r="309" spans="1:6" x14ac:dyDescent="0.3">
      <c r="A309" s="5" t="s">
        <v>348</v>
      </c>
      <c r="B309" s="6">
        <v>475213.2</v>
      </c>
      <c r="C309" s="6">
        <v>10.5754</v>
      </c>
      <c r="D309" s="6">
        <v>13520</v>
      </c>
      <c r="E309" s="6">
        <v>5945.2</v>
      </c>
      <c r="F309" s="6">
        <v>119.2</v>
      </c>
    </row>
    <row r="310" spans="1:6" x14ac:dyDescent="0.3">
      <c r="A310" s="5" t="s">
        <v>461</v>
      </c>
      <c r="B310" s="6">
        <v>91862</v>
      </c>
      <c r="C310" s="6">
        <v>7.9115000000000002</v>
      </c>
      <c r="D310" s="6">
        <v>4800</v>
      </c>
      <c r="E310" s="6">
        <v>963</v>
      </c>
      <c r="F310" s="6">
        <v>114.5</v>
      </c>
    </row>
    <row r="311" spans="1:6" x14ac:dyDescent="0.3">
      <c r="A311" s="5" t="s">
        <v>436</v>
      </c>
      <c r="B311" s="6">
        <v>628316</v>
      </c>
      <c r="C311" s="6">
        <v>2.6442000000000001</v>
      </c>
      <c r="D311" s="6">
        <v>14000</v>
      </c>
      <c r="E311" s="6">
        <v>2614</v>
      </c>
      <c r="F311" s="6">
        <v>114</v>
      </c>
    </row>
    <row r="312" spans="1:6" x14ac:dyDescent="0.3">
      <c r="A312" s="5" t="s">
        <v>122</v>
      </c>
      <c r="B312" s="6">
        <v>2643076.5</v>
      </c>
      <c r="C312" s="6">
        <v>3.6408999999999998</v>
      </c>
      <c r="D312" s="6">
        <v>45500</v>
      </c>
      <c r="E312" s="6">
        <v>370.5</v>
      </c>
      <c r="F312" s="6">
        <v>113</v>
      </c>
    </row>
    <row r="313" spans="1:6" x14ac:dyDescent="0.3">
      <c r="A313" s="5" t="s">
        <v>1692</v>
      </c>
      <c r="B313" s="6">
        <v>14159694</v>
      </c>
      <c r="C313" s="6">
        <v>1.0494000000000001</v>
      </c>
      <c r="D313" s="6">
        <v>123400</v>
      </c>
      <c r="E313" s="6">
        <v>325</v>
      </c>
      <c r="F313" s="6">
        <v>109.66666666666667</v>
      </c>
    </row>
    <row r="314" spans="1:6" x14ac:dyDescent="0.3">
      <c r="A314" s="5" t="s">
        <v>2126</v>
      </c>
      <c r="B314" s="6">
        <v>9884384</v>
      </c>
      <c r="C314" s="6">
        <v>1.8789</v>
      </c>
      <c r="D314" s="6">
        <v>123000</v>
      </c>
      <c r="E314" s="6">
        <v>507</v>
      </c>
      <c r="F314" s="6">
        <v>106.5</v>
      </c>
    </row>
    <row r="315" spans="1:6" x14ac:dyDescent="0.3">
      <c r="A315" s="5" t="s">
        <v>603</v>
      </c>
      <c r="B315" s="6">
        <v>4214638</v>
      </c>
      <c r="C315" s="6">
        <v>7.7100000000000002E-2</v>
      </c>
      <c r="D315" s="6">
        <v>3200</v>
      </c>
      <c r="E315" s="6">
        <v>51</v>
      </c>
      <c r="F315" s="6">
        <v>105</v>
      </c>
    </row>
    <row r="316" spans="1:6" x14ac:dyDescent="0.3">
      <c r="A316" s="5" t="s">
        <v>1766</v>
      </c>
      <c r="B316" s="6">
        <v>5323125</v>
      </c>
      <c r="C316" s="6">
        <v>1.6193</v>
      </c>
      <c r="D316" s="6">
        <v>83200</v>
      </c>
      <c r="E316" s="6">
        <v>1155.5</v>
      </c>
      <c r="F316" s="6">
        <v>102.5</v>
      </c>
    </row>
    <row r="317" spans="1:6" x14ac:dyDescent="0.3">
      <c r="A317" s="5" t="s">
        <v>1481</v>
      </c>
      <c r="B317" s="6">
        <v>6011081</v>
      </c>
      <c r="C317" s="6">
        <v>2.1812</v>
      </c>
      <c r="D317" s="6">
        <v>54500</v>
      </c>
      <c r="E317" s="6">
        <v>626</v>
      </c>
      <c r="F317" s="6">
        <v>102</v>
      </c>
    </row>
    <row r="318" spans="1:6" x14ac:dyDescent="0.3">
      <c r="A318" s="5" t="s">
        <v>188</v>
      </c>
      <c r="B318" s="6">
        <v>30567184.666666668</v>
      </c>
      <c r="C318" s="6">
        <v>2.6751</v>
      </c>
      <c r="D318" s="6">
        <v>390816.66666666669</v>
      </c>
      <c r="E318" s="6">
        <v>1113.1666666666667</v>
      </c>
      <c r="F318" s="6">
        <v>99.416666666666671</v>
      </c>
    </row>
    <row r="319" spans="1:6" x14ac:dyDescent="0.3">
      <c r="A319" s="5" t="s">
        <v>443</v>
      </c>
      <c r="B319" s="6">
        <v>666378.66666666663</v>
      </c>
      <c r="C319" s="6">
        <v>3.9676</v>
      </c>
      <c r="D319" s="6">
        <v>19333.333333333332</v>
      </c>
      <c r="E319" s="6">
        <v>3617</v>
      </c>
      <c r="F319" s="6">
        <v>98.666666666666671</v>
      </c>
    </row>
    <row r="320" spans="1:6" x14ac:dyDescent="0.3">
      <c r="A320" s="5" t="s">
        <v>611</v>
      </c>
      <c r="B320" s="6">
        <v>1372866.2</v>
      </c>
      <c r="C320" s="6">
        <v>1.1883999999999999</v>
      </c>
      <c r="D320" s="6">
        <v>9380</v>
      </c>
      <c r="E320" s="6">
        <v>409.8</v>
      </c>
      <c r="F320" s="6">
        <v>97.2</v>
      </c>
    </row>
    <row r="321" spans="1:6" x14ac:dyDescent="0.3">
      <c r="A321" s="5" t="s">
        <v>126</v>
      </c>
      <c r="B321" s="6">
        <v>6604442</v>
      </c>
      <c r="C321" s="6">
        <v>1.5515000000000001</v>
      </c>
      <c r="D321" s="6">
        <v>58100</v>
      </c>
      <c r="E321" s="6">
        <v>2142.625</v>
      </c>
      <c r="F321" s="6">
        <v>96.875</v>
      </c>
    </row>
    <row r="322" spans="1:6" x14ac:dyDescent="0.3">
      <c r="A322" s="5" t="s">
        <v>691</v>
      </c>
      <c r="B322" s="6">
        <v>6030575.5</v>
      </c>
      <c r="C322" s="6">
        <v>3.1000999999999999</v>
      </c>
      <c r="D322" s="6">
        <v>165000</v>
      </c>
      <c r="E322" s="6">
        <v>2614.5</v>
      </c>
      <c r="F322" s="6">
        <v>90</v>
      </c>
    </row>
    <row r="323" spans="1:6" x14ac:dyDescent="0.3">
      <c r="A323" s="5" t="s">
        <v>356</v>
      </c>
      <c r="B323" s="6">
        <v>350019</v>
      </c>
      <c r="C323" s="6">
        <v>3.1821000000000002</v>
      </c>
      <c r="D323" s="6">
        <v>9000</v>
      </c>
      <c r="E323" s="6">
        <v>2138</v>
      </c>
      <c r="F323" s="6">
        <v>90</v>
      </c>
    </row>
    <row r="324" spans="1:6" x14ac:dyDescent="0.3">
      <c r="A324" s="5" t="s">
        <v>525</v>
      </c>
      <c r="B324" s="6">
        <v>68539.21428571429</v>
      </c>
      <c r="C324" s="6">
        <v>3.298</v>
      </c>
      <c r="D324" s="6">
        <v>1134.5</v>
      </c>
      <c r="E324" s="6">
        <v>51.642857142857146</v>
      </c>
      <c r="F324" s="6">
        <v>88.214285714285708</v>
      </c>
    </row>
    <row r="325" spans="1:6" x14ac:dyDescent="0.3">
      <c r="A325" s="5" t="s">
        <v>360</v>
      </c>
      <c r="B325" s="6">
        <v>11205874.833333334</v>
      </c>
      <c r="C325" s="6">
        <v>2.9999999999999997E-4</v>
      </c>
      <c r="D325" s="6">
        <v>0</v>
      </c>
      <c r="E325" s="6">
        <v>2.6666666666666665</v>
      </c>
      <c r="F325" s="6">
        <v>86.833333333333329</v>
      </c>
    </row>
    <row r="326" spans="1:6" x14ac:dyDescent="0.3">
      <c r="A326" s="5" t="s">
        <v>33</v>
      </c>
      <c r="B326" s="6">
        <v>348243</v>
      </c>
      <c r="C326" s="6">
        <v>5.9669999999999996</v>
      </c>
      <c r="D326" s="6">
        <v>18350</v>
      </c>
      <c r="E326" s="6">
        <v>2335.5</v>
      </c>
      <c r="F326" s="6">
        <v>85</v>
      </c>
    </row>
    <row r="327" spans="1:6" x14ac:dyDescent="0.3">
      <c r="A327" s="5" t="s">
        <v>595</v>
      </c>
      <c r="B327" s="6">
        <v>374388</v>
      </c>
      <c r="C327" s="6">
        <v>3.3431000000000002</v>
      </c>
      <c r="D327" s="6">
        <v>11000</v>
      </c>
      <c r="E327" s="6">
        <v>1516</v>
      </c>
      <c r="F327" s="6">
        <v>80</v>
      </c>
    </row>
    <row r="328" spans="1:6" x14ac:dyDescent="0.3">
      <c r="A328" s="5" t="s">
        <v>521</v>
      </c>
      <c r="B328" s="6">
        <v>3419857</v>
      </c>
      <c r="C328" s="6">
        <v>0.42249999999999999</v>
      </c>
      <c r="D328" s="6">
        <v>14000</v>
      </c>
      <c r="E328" s="6">
        <v>450</v>
      </c>
      <c r="F328" s="6">
        <v>78</v>
      </c>
    </row>
    <row r="329" spans="1:6" x14ac:dyDescent="0.3">
      <c r="A329" s="5" t="s">
        <v>513</v>
      </c>
      <c r="B329" s="6">
        <v>105112.5</v>
      </c>
      <c r="C329" s="6">
        <v>5.9013</v>
      </c>
      <c r="D329" s="6">
        <v>4350</v>
      </c>
      <c r="E329" s="6">
        <v>1346.5</v>
      </c>
      <c r="F329" s="6">
        <v>76.5</v>
      </c>
    </row>
    <row r="330" spans="1:6" x14ac:dyDescent="0.3">
      <c r="A330" s="5" t="s">
        <v>553</v>
      </c>
      <c r="B330" s="6">
        <v>521975</v>
      </c>
      <c r="C330" s="6">
        <v>0.49790000000000001</v>
      </c>
      <c r="D330" s="6">
        <v>2400</v>
      </c>
      <c r="E330" s="6">
        <v>199</v>
      </c>
      <c r="F330" s="6">
        <v>75</v>
      </c>
    </row>
    <row r="331" spans="1:6" x14ac:dyDescent="0.3">
      <c r="A331" s="5" t="s">
        <v>649</v>
      </c>
      <c r="B331" s="6">
        <v>2476980</v>
      </c>
      <c r="C331" s="6">
        <v>0.56559999999999999</v>
      </c>
      <c r="D331" s="6">
        <v>13000</v>
      </c>
      <c r="E331" s="6">
        <v>1009</v>
      </c>
      <c r="F331" s="6">
        <v>75</v>
      </c>
    </row>
    <row r="332" spans="1:6" x14ac:dyDescent="0.3">
      <c r="A332" s="5" t="s">
        <v>723</v>
      </c>
      <c r="B332" s="6">
        <v>3226467</v>
      </c>
      <c r="C332" s="6">
        <v>0.61199999999999999</v>
      </c>
      <c r="D332" s="6">
        <v>18000</v>
      </c>
      <c r="E332" s="6">
        <v>1746</v>
      </c>
      <c r="F332" s="6">
        <v>71</v>
      </c>
    </row>
    <row r="333" spans="1:6" x14ac:dyDescent="0.3">
      <c r="A333" s="5" t="s">
        <v>387</v>
      </c>
      <c r="B333" s="6">
        <v>87450</v>
      </c>
      <c r="C333" s="6">
        <v>8.7752999999999997</v>
      </c>
      <c r="D333" s="6">
        <v>7100</v>
      </c>
      <c r="E333" s="6">
        <v>574</v>
      </c>
      <c r="F333" s="6">
        <v>70</v>
      </c>
    </row>
    <row r="334" spans="1:6" x14ac:dyDescent="0.3">
      <c r="A334" s="5" t="s">
        <v>653</v>
      </c>
      <c r="B334" s="6">
        <v>2698801</v>
      </c>
      <c r="C334" s="6">
        <v>0.51139999999999997</v>
      </c>
      <c r="D334" s="6">
        <v>13000</v>
      </c>
      <c r="E334" s="6">
        <v>802</v>
      </c>
      <c r="F334" s="6">
        <v>69</v>
      </c>
    </row>
    <row r="335" spans="1:6" x14ac:dyDescent="0.3">
      <c r="A335" s="5" t="s">
        <v>1547</v>
      </c>
      <c r="B335" s="6">
        <v>1856489</v>
      </c>
      <c r="C335" s="6">
        <v>0.36609999999999998</v>
      </c>
      <c r="D335" s="6">
        <v>6600</v>
      </c>
      <c r="E335" s="6">
        <v>196</v>
      </c>
      <c r="F335" s="6">
        <v>69</v>
      </c>
    </row>
    <row r="336" spans="1:6" x14ac:dyDescent="0.3">
      <c r="A336" s="5" t="s">
        <v>394</v>
      </c>
      <c r="B336" s="6">
        <v>1457300</v>
      </c>
      <c r="C336" s="6">
        <v>0.14099999999999999</v>
      </c>
      <c r="D336" s="6">
        <v>2000</v>
      </c>
      <c r="E336" s="6">
        <v>55</v>
      </c>
      <c r="F336" s="6">
        <v>62</v>
      </c>
    </row>
    <row r="337" spans="1:6" x14ac:dyDescent="0.3">
      <c r="A337" s="5" t="s">
        <v>506</v>
      </c>
      <c r="B337" s="6">
        <v>692203</v>
      </c>
      <c r="C337" s="6">
        <v>5.3121999999999998</v>
      </c>
      <c r="D337" s="6">
        <v>33000</v>
      </c>
      <c r="E337" s="6">
        <v>3771</v>
      </c>
      <c r="F337" s="6">
        <v>57</v>
      </c>
    </row>
    <row r="338" spans="1:6" x14ac:dyDescent="0.3">
      <c r="A338" s="5" t="s">
        <v>549</v>
      </c>
      <c r="B338" s="6">
        <v>290062</v>
      </c>
      <c r="C338" s="6">
        <v>4.3939000000000004</v>
      </c>
      <c r="D338" s="6">
        <v>12000</v>
      </c>
      <c r="E338" s="6">
        <v>745</v>
      </c>
      <c r="F338" s="6">
        <v>56</v>
      </c>
    </row>
    <row r="339" spans="1:6" x14ac:dyDescent="0.3">
      <c r="A339" s="5" t="s">
        <v>2617</v>
      </c>
      <c r="B339" s="6">
        <v>1834117</v>
      </c>
      <c r="C339" s="6">
        <v>1.0467</v>
      </c>
      <c r="D339" s="6">
        <v>19000</v>
      </c>
      <c r="E339" s="6">
        <v>197</v>
      </c>
      <c r="F339" s="6">
        <v>52</v>
      </c>
    </row>
    <row r="340" spans="1:6" x14ac:dyDescent="0.3">
      <c r="A340" s="5" t="s">
        <v>626</v>
      </c>
      <c r="B340" s="6">
        <v>68374</v>
      </c>
      <c r="C340" s="6">
        <v>3.9824999999999999</v>
      </c>
      <c r="D340" s="6">
        <v>1900</v>
      </c>
      <c r="E340" s="6">
        <v>823</v>
      </c>
      <c r="F340" s="6">
        <v>46</v>
      </c>
    </row>
    <row r="341" spans="1:6" x14ac:dyDescent="0.3">
      <c r="A341" s="5" t="s">
        <v>94</v>
      </c>
      <c r="B341" s="6">
        <v>52139</v>
      </c>
      <c r="C341" s="6">
        <v>5.048</v>
      </c>
      <c r="D341" s="6">
        <v>2400</v>
      </c>
      <c r="E341" s="6">
        <v>232</v>
      </c>
      <c r="F341" s="6">
        <v>41</v>
      </c>
    </row>
    <row r="342" spans="1:6" x14ac:dyDescent="0.3">
      <c r="A342" s="5" t="s">
        <v>2708</v>
      </c>
      <c r="B342" s="6">
        <v>1217481</v>
      </c>
      <c r="C342" s="6">
        <v>1.3236000000000001</v>
      </c>
      <c r="D342" s="6">
        <v>16000</v>
      </c>
      <c r="E342" s="6">
        <v>114</v>
      </c>
      <c r="F342" s="6">
        <v>40</v>
      </c>
    </row>
    <row r="343" spans="1:6" x14ac:dyDescent="0.3">
      <c r="A343" s="5" t="s">
        <v>1555</v>
      </c>
      <c r="B343" s="6">
        <v>16814</v>
      </c>
      <c r="C343" s="6">
        <v>4.5617000000000001</v>
      </c>
      <c r="D343" s="6">
        <v>718</v>
      </c>
      <c r="E343" s="6">
        <v>49</v>
      </c>
      <c r="F343" s="6">
        <v>39</v>
      </c>
    </row>
    <row r="344" spans="1:6" x14ac:dyDescent="0.3">
      <c r="A344" s="5" t="s">
        <v>1620</v>
      </c>
      <c r="B344" s="6">
        <v>281981</v>
      </c>
      <c r="C344" s="6">
        <v>1.5975999999999999</v>
      </c>
      <c r="D344" s="6">
        <v>4200</v>
      </c>
      <c r="E344" s="6">
        <v>305</v>
      </c>
      <c r="F344" s="6">
        <v>37</v>
      </c>
    </row>
    <row r="345" spans="1:6" x14ac:dyDescent="0.3">
      <c r="A345" s="5" t="s">
        <v>290</v>
      </c>
      <c r="B345" s="6">
        <v>453542</v>
      </c>
      <c r="C345" s="6">
        <v>7.8334999999999999</v>
      </c>
      <c r="D345" s="6">
        <v>33000</v>
      </c>
      <c r="E345" s="6">
        <v>2528</v>
      </c>
      <c r="F345" s="6">
        <v>37</v>
      </c>
    </row>
    <row r="346" spans="1:6" x14ac:dyDescent="0.3">
      <c r="A346" s="5" t="s">
        <v>1431</v>
      </c>
      <c r="B346" s="6">
        <v>2952440</v>
      </c>
      <c r="C346" s="6">
        <v>0.90229999999999999</v>
      </c>
      <c r="D346" s="6">
        <v>26000</v>
      </c>
      <c r="E346" s="6">
        <v>640</v>
      </c>
      <c r="F346" s="6">
        <v>36</v>
      </c>
    </row>
    <row r="347" spans="1:6" x14ac:dyDescent="0.3">
      <c r="A347" s="5" t="s">
        <v>1311</v>
      </c>
      <c r="B347" s="6">
        <v>1415720</v>
      </c>
      <c r="C347" s="6">
        <v>7.2634999999999996</v>
      </c>
      <c r="D347" s="6">
        <v>96500</v>
      </c>
      <c r="E347" s="6">
        <v>581</v>
      </c>
      <c r="F347" s="6">
        <v>31</v>
      </c>
    </row>
    <row r="348" spans="1:6" x14ac:dyDescent="0.3">
      <c r="A348" s="5" t="s">
        <v>2602</v>
      </c>
      <c r="B348" s="6">
        <v>3057784</v>
      </c>
      <c r="C348" s="6">
        <v>2.8694000000000002</v>
      </c>
      <c r="D348" s="6">
        <v>86000</v>
      </c>
      <c r="E348" s="6">
        <v>1741</v>
      </c>
      <c r="F348" s="6">
        <v>28</v>
      </c>
    </row>
    <row r="349" spans="1:6" x14ac:dyDescent="0.3">
      <c r="A349" s="5" t="s">
        <v>2084</v>
      </c>
      <c r="B349" s="6">
        <v>401025</v>
      </c>
      <c r="C349" s="6">
        <v>2.8616999999999999</v>
      </c>
      <c r="D349" s="6">
        <v>11000</v>
      </c>
      <c r="E349" s="6">
        <v>476</v>
      </c>
      <c r="F349" s="6">
        <v>27</v>
      </c>
    </row>
    <row r="350" spans="1:6" x14ac:dyDescent="0.3">
      <c r="A350" s="5" t="s">
        <v>1995</v>
      </c>
      <c r="B350" s="6">
        <v>651551</v>
      </c>
      <c r="C350" s="6">
        <v>2.7408999999999999</v>
      </c>
      <c r="D350" s="6">
        <v>16500</v>
      </c>
      <c r="E350" s="6">
        <v>109.5</v>
      </c>
      <c r="F350" s="6">
        <v>27</v>
      </c>
    </row>
    <row r="351" spans="1:6" x14ac:dyDescent="0.3">
      <c r="A351" s="5" t="s">
        <v>481</v>
      </c>
      <c r="B351" s="6">
        <v>208093.5</v>
      </c>
      <c r="C351" s="6">
        <v>4.7968000000000002</v>
      </c>
      <c r="D351" s="6">
        <v>9500</v>
      </c>
      <c r="E351" s="6">
        <v>194</v>
      </c>
      <c r="F351" s="6">
        <v>26.5</v>
      </c>
    </row>
    <row r="352" spans="1:6" x14ac:dyDescent="0.3">
      <c r="A352" s="5" t="s">
        <v>607</v>
      </c>
      <c r="B352" s="6">
        <v>13452</v>
      </c>
      <c r="C352" s="6">
        <v>6.4526000000000003</v>
      </c>
      <c r="D352" s="6">
        <v>733</v>
      </c>
      <c r="E352" s="6">
        <v>135</v>
      </c>
      <c r="F352" s="6">
        <v>26</v>
      </c>
    </row>
    <row r="353" spans="1:6" x14ac:dyDescent="0.3">
      <c r="A353" s="5" t="s">
        <v>1108</v>
      </c>
      <c r="B353" s="6">
        <v>820442</v>
      </c>
      <c r="C353" s="6">
        <v>1.0465</v>
      </c>
      <c r="D353" s="6">
        <v>8400</v>
      </c>
      <c r="E353" s="6">
        <v>186</v>
      </c>
      <c r="F353" s="6">
        <v>25</v>
      </c>
    </row>
    <row r="354" spans="1:6" x14ac:dyDescent="0.3">
      <c r="A354" s="5" t="s">
        <v>1449</v>
      </c>
      <c r="B354" s="6">
        <v>7752333</v>
      </c>
      <c r="C354" s="6">
        <v>1.026</v>
      </c>
      <c r="D354" s="6">
        <v>77000</v>
      </c>
      <c r="E354" s="6">
        <v>2542</v>
      </c>
      <c r="F354" s="6">
        <v>24</v>
      </c>
    </row>
    <row r="355" spans="1:6" x14ac:dyDescent="0.3">
      <c r="A355" s="5" t="s">
        <v>1878</v>
      </c>
      <c r="B355" s="6">
        <v>773728</v>
      </c>
      <c r="C355" s="6">
        <v>1.4339999999999999</v>
      </c>
      <c r="D355" s="6">
        <v>11000</v>
      </c>
      <c r="E355" s="6">
        <v>95</v>
      </c>
      <c r="F355" s="6">
        <v>22</v>
      </c>
    </row>
    <row r="356" spans="1:6" x14ac:dyDescent="0.3">
      <c r="A356" s="5" t="s">
        <v>2855</v>
      </c>
      <c r="B356" s="6">
        <v>1309339</v>
      </c>
      <c r="C356" s="6">
        <v>1.3756999999999999</v>
      </c>
      <c r="D356" s="6">
        <v>18000</v>
      </c>
      <c r="E356" s="6">
        <v>12</v>
      </c>
      <c r="F356" s="6">
        <v>22</v>
      </c>
    </row>
    <row r="357" spans="1:6" x14ac:dyDescent="0.3">
      <c r="A357" s="5" t="s">
        <v>638</v>
      </c>
      <c r="B357" s="6">
        <v>518218</v>
      </c>
      <c r="C357" s="6">
        <v>0.95169999999999999</v>
      </c>
      <c r="D357" s="6">
        <v>3900</v>
      </c>
      <c r="E357" s="6">
        <v>1032</v>
      </c>
      <c r="F357" s="6">
        <v>22</v>
      </c>
    </row>
    <row r="358" spans="1:6" x14ac:dyDescent="0.3">
      <c r="A358" s="5" t="s">
        <v>1700</v>
      </c>
      <c r="B358" s="6">
        <v>138150</v>
      </c>
      <c r="C358" s="6">
        <v>3.7322000000000002</v>
      </c>
      <c r="D358" s="6">
        <v>5100</v>
      </c>
      <c r="E358" s="6">
        <v>56</v>
      </c>
      <c r="F358" s="6">
        <v>21</v>
      </c>
    </row>
    <row r="359" spans="1:6" x14ac:dyDescent="0.3">
      <c r="A359" s="5" t="s">
        <v>1055</v>
      </c>
      <c r="B359" s="6">
        <v>1911454</v>
      </c>
      <c r="C359" s="6">
        <v>2.7002000000000002</v>
      </c>
      <c r="D359" s="6">
        <v>51000</v>
      </c>
      <c r="E359" s="6">
        <v>614</v>
      </c>
      <c r="F359" s="6">
        <v>21</v>
      </c>
    </row>
    <row r="360" spans="1:6" x14ac:dyDescent="0.3">
      <c r="A360" s="5" t="s">
        <v>1472</v>
      </c>
      <c r="B360" s="6">
        <v>737008</v>
      </c>
      <c r="C360" s="6">
        <v>0.49859999999999999</v>
      </c>
      <c r="D360" s="6">
        <v>3600</v>
      </c>
      <c r="E360" s="6">
        <v>75</v>
      </c>
      <c r="F360" s="6">
        <v>20</v>
      </c>
    </row>
    <row r="361" spans="1:6" x14ac:dyDescent="0.3">
      <c r="A361" s="5" t="s">
        <v>1658</v>
      </c>
      <c r="B361" s="6">
        <v>1099328</v>
      </c>
      <c r="C361" s="6">
        <v>0.90139999999999998</v>
      </c>
      <c r="D361" s="6">
        <v>9700</v>
      </c>
      <c r="E361" s="6">
        <v>209</v>
      </c>
      <c r="F361" s="6">
        <v>20</v>
      </c>
    </row>
    <row r="362" spans="1:6" x14ac:dyDescent="0.3">
      <c r="A362" s="5" t="s">
        <v>1279</v>
      </c>
      <c r="B362" s="6">
        <v>454561</v>
      </c>
      <c r="C362" s="6">
        <v>5.9035000000000002</v>
      </c>
      <c r="D362" s="6">
        <v>23000</v>
      </c>
      <c r="E362" s="6">
        <v>3835</v>
      </c>
      <c r="F362" s="6">
        <v>20</v>
      </c>
    </row>
    <row r="363" spans="1:6" x14ac:dyDescent="0.3">
      <c r="A363" s="5" t="s">
        <v>1341</v>
      </c>
      <c r="B363" s="6">
        <v>2829879</v>
      </c>
      <c r="C363" s="6">
        <v>0.60929999999999995</v>
      </c>
      <c r="D363" s="6">
        <v>17000</v>
      </c>
      <c r="E363" s="6">
        <v>242</v>
      </c>
      <c r="F363" s="6">
        <v>19</v>
      </c>
    </row>
    <row r="364" spans="1:6" x14ac:dyDescent="0.3">
      <c r="A364" s="5" t="s">
        <v>2062</v>
      </c>
      <c r="B364" s="6">
        <v>38795182.600000001</v>
      </c>
      <c r="C364" s="6">
        <v>2.09</v>
      </c>
      <c r="D364" s="6">
        <v>448200</v>
      </c>
      <c r="E364" s="6">
        <v>1935.8</v>
      </c>
      <c r="F364" s="6">
        <v>19</v>
      </c>
    </row>
    <row r="365" spans="1:6" x14ac:dyDescent="0.3">
      <c r="A365" s="5" t="s">
        <v>1654</v>
      </c>
      <c r="B365" s="6">
        <v>260819</v>
      </c>
      <c r="C365" s="6">
        <v>0.17330000000000001</v>
      </c>
      <c r="D365" s="6">
        <v>438</v>
      </c>
      <c r="E365" s="6">
        <v>14</v>
      </c>
      <c r="F365" s="6">
        <v>19</v>
      </c>
    </row>
    <row r="366" spans="1:6" x14ac:dyDescent="0.3">
      <c r="A366" s="5" t="s">
        <v>2558</v>
      </c>
      <c r="B366" s="6">
        <v>712455</v>
      </c>
      <c r="C366" s="6">
        <v>2.3969</v>
      </c>
      <c r="D366" s="6">
        <v>17000</v>
      </c>
      <c r="E366" s="6">
        <v>77</v>
      </c>
      <c r="F366" s="6">
        <v>19</v>
      </c>
    </row>
    <row r="367" spans="1:6" x14ac:dyDescent="0.3">
      <c r="A367" s="5" t="s">
        <v>684</v>
      </c>
      <c r="B367" s="6">
        <v>382785</v>
      </c>
      <c r="C367" s="6">
        <v>0.18909999999999999</v>
      </c>
      <c r="D367" s="6">
        <v>678</v>
      </c>
      <c r="E367" s="6">
        <v>46</v>
      </c>
      <c r="F367" s="6">
        <v>18</v>
      </c>
    </row>
    <row r="368" spans="1:6" x14ac:dyDescent="0.3">
      <c r="A368" s="5" t="s">
        <v>2566</v>
      </c>
      <c r="B368" s="6">
        <v>3835699</v>
      </c>
      <c r="C368" s="6">
        <v>0.41820000000000002</v>
      </c>
      <c r="D368" s="6">
        <v>16000</v>
      </c>
      <c r="E368" s="6">
        <v>40</v>
      </c>
      <c r="F368" s="6">
        <v>18</v>
      </c>
    </row>
    <row r="369" spans="1:6" x14ac:dyDescent="0.3">
      <c r="A369" s="5" t="s">
        <v>1624</v>
      </c>
      <c r="B369" s="6">
        <v>192988</v>
      </c>
      <c r="C369" s="6">
        <v>3.0369999999999999</v>
      </c>
      <c r="D369" s="6">
        <v>5800</v>
      </c>
      <c r="E369" s="6">
        <v>61</v>
      </c>
      <c r="F369" s="6">
        <v>18</v>
      </c>
    </row>
    <row r="370" spans="1:6" x14ac:dyDescent="0.3">
      <c r="A370" s="5" t="s">
        <v>1810</v>
      </c>
      <c r="B370" s="6">
        <v>427000</v>
      </c>
      <c r="C370" s="6">
        <v>1.8956</v>
      </c>
      <c r="D370" s="6">
        <v>8000</v>
      </c>
      <c r="E370" s="6">
        <v>94</v>
      </c>
      <c r="F370" s="6">
        <v>18</v>
      </c>
    </row>
    <row r="371" spans="1:6" x14ac:dyDescent="0.3">
      <c r="A371" s="5" t="s">
        <v>2613</v>
      </c>
      <c r="B371" s="6">
        <v>298371</v>
      </c>
      <c r="C371" s="6">
        <v>1.7277</v>
      </c>
      <c r="D371" s="6">
        <v>5100</v>
      </c>
      <c r="E371" s="6">
        <v>55</v>
      </c>
      <c r="F371" s="6">
        <v>17</v>
      </c>
    </row>
    <row r="372" spans="1:6" x14ac:dyDescent="0.3">
      <c r="A372" s="5" t="s">
        <v>262</v>
      </c>
      <c r="B372" s="6">
        <v>189619</v>
      </c>
      <c r="C372" s="6">
        <v>11.711399999999999</v>
      </c>
      <c r="D372" s="6">
        <v>20000</v>
      </c>
      <c r="E372" s="6">
        <v>2207</v>
      </c>
      <c r="F372" s="6">
        <v>17</v>
      </c>
    </row>
    <row r="373" spans="1:6" x14ac:dyDescent="0.3">
      <c r="A373" s="5" t="s">
        <v>2824</v>
      </c>
      <c r="B373" s="6">
        <v>1920416</v>
      </c>
      <c r="C373" s="6">
        <v>2.4622999999999999</v>
      </c>
      <c r="D373" s="6">
        <v>46000</v>
      </c>
      <c r="E373" s="6">
        <v>1286</v>
      </c>
      <c r="F373" s="6">
        <v>17</v>
      </c>
    </row>
    <row r="374" spans="1:6" x14ac:dyDescent="0.3">
      <c r="A374" s="5" t="s">
        <v>2878</v>
      </c>
      <c r="B374" s="6">
        <v>1835385</v>
      </c>
      <c r="C374" s="6">
        <v>1.6933</v>
      </c>
      <c r="D374" s="6">
        <v>31000</v>
      </c>
      <c r="E374" s="6">
        <v>79</v>
      </c>
      <c r="F374" s="6">
        <v>16</v>
      </c>
    </row>
    <row r="375" spans="1:6" x14ac:dyDescent="0.3">
      <c r="A375" s="5" t="s">
        <v>1322</v>
      </c>
      <c r="B375" s="6">
        <v>1493994</v>
      </c>
      <c r="C375" s="6">
        <v>4.2488999999999999</v>
      </c>
      <c r="D375" s="6">
        <v>62000</v>
      </c>
      <c r="E375" s="6">
        <v>1479</v>
      </c>
      <c r="F375" s="6">
        <v>16</v>
      </c>
    </row>
    <row r="376" spans="1:6" x14ac:dyDescent="0.3">
      <c r="A376" s="5" t="s">
        <v>1465</v>
      </c>
      <c r="B376" s="6">
        <v>1462236.6666666667</v>
      </c>
      <c r="C376" s="6">
        <v>1.456</v>
      </c>
      <c r="D376" s="6">
        <v>16200</v>
      </c>
      <c r="E376" s="6">
        <v>464.33333333333331</v>
      </c>
      <c r="F376" s="6">
        <v>15.666666666666666</v>
      </c>
    </row>
    <row r="377" spans="1:6" x14ac:dyDescent="0.3">
      <c r="A377" s="5" t="s">
        <v>1662</v>
      </c>
      <c r="B377" s="6">
        <v>270255.5</v>
      </c>
      <c r="C377" s="6">
        <v>1.173</v>
      </c>
      <c r="D377" s="6">
        <v>1550</v>
      </c>
      <c r="E377" s="6">
        <v>146</v>
      </c>
      <c r="F377" s="6">
        <v>15.5</v>
      </c>
    </row>
    <row r="378" spans="1:6" x14ac:dyDescent="0.3">
      <c r="A378" s="5" t="s">
        <v>1501</v>
      </c>
      <c r="B378" s="6">
        <v>5430644.5</v>
      </c>
      <c r="C378" s="6">
        <v>1.1443000000000001</v>
      </c>
      <c r="D378" s="6">
        <v>40000</v>
      </c>
      <c r="E378" s="6">
        <v>551.5</v>
      </c>
      <c r="F378" s="6">
        <v>15.5</v>
      </c>
    </row>
    <row r="379" spans="1:6" x14ac:dyDescent="0.3">
      <c r="A379" s="5" t="s">
        <v>2441</v>
      </c>
      <c r="B379" s="6">
        <v>4091931</v>
      </c>
      <c r="C379" s="6">
        <v>1.0035000000000001</v>
      </c>
      <c r="D379" s="6">
        <v>41000</v>
      </c>
      <c r="E379" s="6">
        <v>64</v>
      </c>
      <c r="F379" s="6">
        <v>14</v>
      </c>
    </row>
    <row r="380" spans="1:6" x14ac:dyDescent="0.3">
      <c r="A380" s="5" t="s">
        <v>1423</v>
      </c>
      <c r="B380" s="6">
        <v>893393</v>
      </c>
      <c r="C380" s="6">
        <v>0.81200000000000006</v>
      </c>
      <c r="D380" s="6">
        <v>5150</v>
      </c>
      <c r="E380" s="6">
        <v>40</v>
      </c>
      <c r="F380" s="6">
        <v>14</v>
      </c>
    </row>
    <row r="381" spans="1:6" x14ac:dyDescent="0.3">
      <c r="A381" s="5" t="s">
        <v>2655</v>
      </c>
      <c r="B381" s="6">
        <v>1137505</v>
      </c>
      <c r="C381" s="6">
        <v>0.64590000000000003</v>
      </c>
      <c r="D381" s="6">
        <v>7300</v>
      </c>
      <c r="E381" s="6">
        <v>47</v>
      </c>
      <c r="F381" s="6">
        <v>14</v>
      </c>
    </row>
    <row r="382" spans="1:6" x14ac:dyDescent="0.3">
      <c r="A382" s="5" t="s">
        <v>2669</v>
      </c>
      <c r="B382" s="6">
        <v>2727087</v>
      </c>
      <c r="C382" s="6">
        <v>2.3492000000000002</v>
      </c>
      <c r="D382" s="6">
        <v>64000</v>
      </c>
      <c r="E382" s="6">
        <v>64</v>
      </c>
      <c r="F382" s="6">
        <v>14</v>
      </c>
    </row>
    <row r="383" spans="1:6" x14ac:dyDescent="0.3">
      <c r="A383" s="5" t="s">
        <v>2134</v>
      </c>
      <c r="B383" s="6">
        <v>1354142</v>
      </c>
      <c r="C383" s="6">
        <v>2.4620000000000002</v>
      </c>
      <c r="D383" s="6">
        <v>33000</v>
      </c>
      <c r="E383" s="6">
        <v>339</v>
      </c>
      <c r="F383" s="6">
        <v>14</v>
      </c>
    </row>
    <row r="384" spans="1:6" x14ac:dyDescent="0.3">
      <c r="A384" s="5" t="s">
        <v>904</v>
      </c>
      <c r="B384" s="6">
        <v>1575632</v>
      </c>
      <c r="C384" s="6">
        <v>0.29580000000000001</v>
      </c>
      <c r="D384" s="6">
        <v>4600</v>
      </c>
      <c r="E384" s="6">
        <v>60</v>
      </c>
      <c r="F384" s="6">
        <v>14</v>
      </c>
    </row>
    <row r="385" spans="1:6" x14ac:dyDescent="0.3">
      <c r="A385" s="5" t="s">
        <v>1387</v>
      </c>
      <c r="B385" s="6">
        <v>1165858.5714285714</v>
      </c>
      <c r="C385" s="6">
        <v>4.1769999999999996</v>
      </c>
      <c r="D385" s="6">
        <v>37857.142857142855</v>
      </c>
      <c r="E385" s="6">
        <v>1119.1428571428571</v>
      </c>
      <c r="F385" s="6">
        <v>13.714285714285714</v>
      </c>
    </row>
    <row r="386" spans="1:6" x14ac:dyDescent="0.3">
      <c r="A386" s="5" t="s">
        <v>2533</v>
      </c>
      <c r="B386" s="6">
        <v>23319159</v>
      </c>
      <c r="C386" s="6">
        <v>1.0338000000000001</v>
      </c>
      <c r="D386" s="6">
        <v>196000</v>
      </c>
      <c r="E386" s="6">
        <v>395.5</v>
      </c>
      <c r="F386" s="6">
        <v>13.5</v>
      </c>
    </row>
    <row r="387" spans="1:6" x14ac:dyDescent="0.3">
      <c r="A387" s="5" t="s">
        <v>184</v>
      </c>
      <c r="B387" s="6">
        <v>3762025</v>
      </c>
      <c r="C387" s="6">
        <v>2.3822000000000001</v>
      </c>
      <c r="D387" s="6">
        <v>60250</v>
      </c>
      <c r="E387" s="6">
        <v>517.5</v>
      </c>
      <c r="F387" s="6">
        <v>13.5</v>
      </c>
    </row>
    <row r="388" spans="1:6" x14ac:dyDescent="0.3">
      <c r="A388" s="5" t="s">
        <v>1427</v>
      </c>
      <c r="B388" s="6">
        <v>10497793.333333334</v>
      </c>
      <c r="C388" s="6">
        <v>0.96460000000000001</v>
      </c>
      <c r="D388" s="6">
        <v>88533.333333333328</v>
      </c>
      <c r="E388" s="6">
        <v>188.66666666666666</v>
      </c>
      <c r="F388" s="6">
        <v>13.333333333333334</v>
      </c>
    </row>
    <row r="389" spans="1:6" x14ac:dyDescent="0.3">
      <c r="A389" s="5" t="s">
        <v>2460</v>
      </c>
      <c r="B389" s="6">
        <v>3604550</v>
      </c>
      <c r="C389" s="6">
        <v>1.8658999999999999</v>
      </c>
      <c r="D389" s="6">
        <v>67000</v>
      </c>
      <c r="E389" s="6">
        <v>258</v>
      </c>
      <c r="F389" s="6">
        <v>13</v>
      </c>
    </row>
    <row r="390" spans="1:6" x14ac:dyDescent="0.3">
      <c r="A390" s="5" t="s">
        <v>1419</v>
      </c>
      <c r="B390" s="6">
        <v>3685678.4</v>
      </c>
      <c r="C390" s="6">
        <v>1.9883999999999999</v>
      </c>
      <c r="D390" s="6">
        <v>64800</v>
      </c>
      <c r="E390" s="6">
        <v>1549.8</v>
      </c>
      <c r="F390" s="6">
        <v>12.8</v>
      </c>
    </row>
    <row r="391" spans="1:6" x14ac:dyDescent="0.3">
      <c r="A391" s="5" t="s">
        <v>2054</v>
      </c>
      <c r="B391" s="6">
        <v>3791708</v>
      </c>
      <c r="C391" s="6">
        <v>1.298</v>
      </c>
      <c r="D391" s="6">
        <v>49000</v>
      </c>
      <c r="E391" s="6">
        <v>217</v>
      </c>
      <c r="F391" s="6">
        <v>12</v>
      </c>
    </row>
    <row r="392" spans="1:6" x14ac:dyDescent="0.3">
      <c r="A392" s="5" t="s">
        <v>2167</v>
      </c>
      <c r="B392" s="6">
        <v>1494229</v>
      </c>
      <c r="C392" s="6">
        <v>4.72</v>
      </c>
      <c r="D392" s="6">
        <v>69000</v>
      </c>
      <c r="E392" s="6">
        <v>1528</v>
      </c>
      <c r="F392" s="6">
        <v>12</v>
      </c>
    </row>
    <row r="393" spans="1:6" x14ac:dyDescent="0.3">
      <c r="A393" s="5" t="s">
        <v>2307</v>
      </c>
      <c r="B393" s="6">
        <v>2503054.5</v>
      </c>
      <c r="C393" s="6">
        <v>1.7685999999999999</v>
      </c>
      <c r="D393" s="6">
        <v>40500</v>
      </c>
      <c r="E393" s="6">
        <v>73</v>
      </c>
      <c r="F393" s="6">
        <v>11.5</v>
      </c>
    </row>
    <row r="394" spans="1:6" x14ac:dyDescent="0.3">
      <c r="A394" s="5" t="s">
        <v>2425</v>
      </c>
      <c r="B394" s="6">
        <v>904475</v>
      </c>
      <c r="C394" s="6">
        <v>3.5203000000000002</v>
      </c>
      <c r="D394" s="6">
        <v>30500</v>
      </c>
      <c r="E394" s="6">
        <v>85</v>
      </c>
      <c r="F394" s="6">
        <v>11.5</v>
      </c>
    </row>
    <row r="395" spans="1:6" x14ac:dyDescent="0.3">
      <c r="A395" s="5" t="s">
        <v>2404</v>
      </c>
      <c r="B395" s="6">
        <v>2097512.6</v>
      </c>
      <c r="C395" s="6">
        <v>0.85440000000000005</v>
      </c>
      <c r="D395" s="6">
        <v>14780</v>
      </c>
      <c r="E395" s="6">
        <v>17.600000000000001</v>
      </c>
      <c r="F395" s="6">
        <v>11.4</v>
      </c>
    </row>
    <row r="396" spans="1:6" x14ac:dyDescent="0.3">
      <c r="A396" s="5" t="s">
        <v>1291</v>
      </c>
      <c r="B396" s="6">
        <v>10885097.333333334</v>
      </c>
      <c r="C396" s="6">
        <v>3.5695999999999999</v>
      </c>
      <c r="D396" s="6">
        <v>282000</v>
      </c>
      <c r="E396" s="6">
        <v>855</v>
      </c>
      <c r="F396" s="6">
        <v>11.333333333333334</v>
      </c>
    </row>
    <row r="397" spans="1:6" x14ac:dyDescent="0.3">
      <c r="A397" s="5" t="s">
        <v>2916</v>
      </c>
      <c r="B397" s="6">
        <v>190835</v>
      </c>
      <c r="C397" s="6">
        <v>1.4206000000000001</v>
      </c>
      <c r="D397" s="6">
        <v>2700</v>
      </c>
      <c r="E397" s="6">
        <v>11</v>
      </c>
      <c r="F397" s="6">
        <v>11</v>
      </c>
    </row>
    <row r="398" spans="1:6" x14ac:dyDescent="0.3">
      <c r="A398" s="5" t="s">
        <v>1104</v>
      </c>
      <c r="B398" s="6">
        <v>178091</v>
      </c>
      <c r="C398" s="6">
        <v>0.26619999999999999</v>
      </c>
      <c r="D398" s="6">
        <v>466</v>
      </c>
      <c r="E398" s="6">
        <v>8</v>
      </c>
      <c r="F398" s="6">
        <v>11</v>
      </c>
    </row>
    <row r="399" spans="1:6" x14ac:dyDescent="0.3">
      <c r="A399" s="5" t="s">
        <v>2472</v>
      </c>
      <c r="B399" s="6">
        <v>6762389</v>
      </c>
      <c r="C399" s="6">
        <v>0.38469999999999999</v>
      </c>
      <c r="D399" s="6">
        <v>26000</v>
      </c>
      <c r="E399" s="6">
        <v>13</v>
      </c>
      <c r="F399" s="6">
        <v>11</v>
      </c>
    </row>
    <row r="400" spans="1:6" x14ac:dyDescent="0.3">
      <c r="A400" s="5" t="s">
        <v>2340</v>
      </c>
      <c r="B400" s="6">
        <v>177041</v>
      </c>
      <c r="C400" s="6">
        <v>1.8678999999999999</v>
      </c>
      <c r="D400" s="6">
        <v>3300</v>
      </c>
      <c r="E400" s="6">
        <v>7</v>
      </c>
      <c r="F400" s="6">
        <v>11</v>
      </c>
    </row>
    <row r="401" spans="1:6" x14ac:dyDescent="0.3">
      <c r="A401" s="5" t="s">
        <v>2321</v>
      </c>
      <c r="B401" s="6">
        <v>7035544</v>
      </c>
      <c r="C401" s="6">
        <v>0.36959999999999998</v>
      </c>
      <c r="D401" s="6">
        <v>26000</v>
      </c>
      <c r="E401" s="6">
        <v>0</v>
      </c>
      <c r="F401" s="6">
        <v>11</v>
      </c>
    </row>
    <row r="402" spans="1:6" x14ac:dyDescent="0.3">
      <c r="A402" s="5" t="s">
        <v>2299</v>
      </c>
      <c r="B402" s="6">
        <v>2196683.3333333335</v>
      </c>
      <c r="C402" s="6">
        <v>1.3198000000000001</v>
      </c>
      <c r="D402" s="6">
        <v>22333.333333333332</v>
      </c>
      <c r="E402" s="6">
        <v>48.666666666666664</v>
      </c>
      <c r="F402" s="6">
        <v>10.333333333333334</v>
      </c>
    </row>
    <row r="403" spans="1:6" x14ac:dyDescent="0.3">
      <c r="A403" s="5" t="s">
        <v>2771</v>
      </c>
      <c r="B403" s="6">
        <v>702972</v>
      </c>
      <c r="C403" s="6">
        <v>4.7248999999999999</v>
      </c>
      <c r="D403" s="6">
        <v>33000</v>
      </c>
      <c r="E403" s="6">
        <v>215</v>
      </c>
      <c r="F403" s="6">
        <v>10</v>
      </c>
    </row>
    <row r="404" spans="1:6" x14ac:dyDescent="0.3">
      <c r="A404" s="5" t="s">
        <v>1457</v>
      </c>
      <c r="B404" s="6">
        <v>25015508.666666668</v>
      </c>
      <c r="C404" s="6">
        <v>0.81189999999999996</v>
      </c>
      <c r="D404" s="6">
        <v>165000</v>
      </c>
      <c r="E404" s="6">
        <v>63</v>
      </c>
      <c r="F404" s="6">
        <v>9.6666666666666661</v>
      </c>
    </row>
    <row r="405" spans="1:6" x14ac:dyDescent="0.3">
      <c r="A405" s="5" t="s">
        <v>2848</v>
      </c>
      <c r="B405" s="6">
        <v>2612146</v>
      </c>
      <c r="C405" s="6">
        <v>0.49919999999999998</v>
      </c>
      <c r="D405" s="6">
        <v>13000</v>
      </c>
      <c r="E405" s="6">
        <v>41</v>
      </c>
      <c r="F405" s="6">
        <v>9</v>
      </c>
    </row>
    <row r="406" spans="1:6" x14ac:dyDescent="0.3">
      <c r="A406" s="5" t="s">
        <v>2276</v>
      </c>
      <c r="B406" s="6">
        <v>3645097</v>
      </c>
      <c r="C406" s="6">
        <v>0.79710000000000003</v>
      </c>
      <c r="D406" s="6">
        <v>29000</v>
      </c>
      <c r="E406" s="6">
        <v>55</v>
      </c>
      <c r="F406" s="6">
        <v>9</v>
      </c>
    </row>
    <row r="407" spans="1:6" x14ac:dyDescent="0.3">
      <c r="A407" s="5" t="s">
        <v>2146</v>
      </c>
      <c r="B407" s="6">
        <v>62814727</v>
      </c>
      <c r="C407" s="6">
        <v>0</v>
      </c>
      <c r="D407" s="6">
        <v>0</v>
      </c>
      <c r="E407" s="6">
        <v>0</v>
      </c>
      <c r="F407" s="6">
        <v>9</v>
      </c>
    </row>
    <row r="408" spans="1:6" x14ac:dyDescent="0.3">
      <c r="A408" s="5" t="s">
        <v>2476</v>
      </c>
      <c r="B408" s="6">
        <v>819224</v>
      </c>
      <c r="C408" s="6">
        <v>1.8447</v>
      </c>
      <c r="D408" s="6">
        <v>15000</v>
      </c>
      <c r="E408" s="6">
        <v>112</v>
      </c>
      <c r="F408" s="6">
        <v>9</v>
      </c>
    </row>
    <row r="409" spans="1:6" x14ac:dyDescent="0.3">
      <c r="A409" s="5" t="s">
        <v>1789</v>
      </c>
      <c r="B409" s="6">
        <v>11768427</v>
      </c>
      <c r="C409" s="6">
        <v>3.8075999999999999</v>
      </c>
      <c r="D409" s="6">
        <v>384000</v>
      </c>
      <c r="E409" s="6">
        <v>4197</v>
      </c>
      <c r="F409" s="6">
        <v>9</v>
      </c>
    </row>
    <row r="410" spans="1:6" x14ac:dyDescent="0.3">
      <c r="A410" s="5" t="s">
        <v>2336</v>
      </c>
      <c r="B410" s="6">
        <v>942455</v>
      </c>
      <c r="C410" s="6">
        <v>0.81699999999999995</v>
      </c>
      <c r="D410" s="6">
        <v>7700</v>
      </c>
      <c r="E410" s="6">
        <v>0</v>
      </c>
      <c r="F410" s="6">
        <v>9</v>
      </c>
    </row>
    <row r="411" spans="1:6" x14ac:dyDescent="0.3">
      <c r="A411" s="5" t="s">
        <v>2414</v>
      </c>
      <c r="B411" s="6">
        <v>1679566</v>
      </c>
      <c r="C411" s="6">
        <v>6.2350000000000003</v>
      </c>
      <c r="D411" s="6">
        <v>104000</v>
      </c>
      <c r="E411" s="6">
        <v>721</v>
      </c>
      <c r="F411" s="6">
        <v>9</v>
      </c>
    </row>
    <row r="412" spans="1:6" x14ac:dyDescent="0.3">
      <c r="A412" s="5" t="s">
        <v>2724</v>
      </c>
      <c r="B412" s="6">
        <v>3831752</v>
      </c>
      <c r="C412" s="6">
        <v>2.0268000000000002</v>
      </c>
      <c r="D412" s="6">
        <v>70500</v>
      </c>
      <c r="E412" s="6">
        <v>225</v>
      </c>
      <c r="F412" s="6">
        <v>8.5</v>
      </c>
    </row>
    <row r="413" spans="1:6" x14ac:dyDescent="0.3">
      <c r="A413" s="5" t="s">
        <v>2468</v>
      </c>
      <c r="B413" s="6">
        <v>7167474</v>
      </c>
      <c r="C413" s="6">
        <v>1.1900999999999999</v>
      </c>
      <c r="D413" s="6">
        <v>74000</v>
      </c>
      <c r="E413" s="6">
        <v>281.5</v>
      </c>
      <c r="F413" s="6">
        <v>8.5</v>
      </c>
    </row>
    <row r="414" spans="1:6" x14ac:dyDescent="0.3">
      <c r="A414" s="5" t="s">
        <v>2138</v>
      </c>
      <c r="B414" s="6">
        <v>7638070</v>
      </c>
      <c r="C414" s="6">
        <v>0.52490000000000003</v>
      </c>
      <c r="D414" s="6">
        <v>40000</v>
      </c>
      <c r="E414" s="6">
        <v>96</v>
      </c>
      <c r="F414" s="6">
        <v>8</v>
      </c>
    </row>
    <row r="415" spans="1:6" x14ac:dyDescent="0.3">
      <c r="A415" s="5" t="s">
        <v>1488</v>
      </c>
      <c r="B415" s="6">
        <v>1645694.3333333333</v>
      </c>
      <c r="C415" s="6">
        <v>3.3936999999999999</v>
      </c>
      <c r="D415" s="6">
        <v>42400</v>
      </c>
      <c r="E415" s="6">
        <v>255.66666666666666</v>
      </c>
      <c r="F415" s="6">
        <v>8</v>
      </c>
    </row>
    <row r="416" spans="1:6" x14ac:dyDescent="0.3">
      <c r="A416" s="5" t="s">
        <v>2831</v>
      </c>
      <c r="B416" s="6">
        <v>9346140</v>
      </c>
      <c r="C416" s="6">
        <v>2.3999999999999998E-3</v>
      </c>
      <c r="D416" s="6">
        <v>0</v>
      </c>
      <c r="E416" s="6">
        <v>226</v>
      </c>
      <c r="F416" s="6">
        <v>8</v>
      </c>
    </row>
    <row r="417" spans="1:6" x14ac:dyDescent="0.3">
      <c r="A417" s="5" t="s">
        <v>1999</v>
      </c>
      <c r="B417" s="6">
        <v>3454474</v>
      </c>
      <c r="C417" s="6">
        <v>0.46350000000000002</v>
      </c>
      <c r="D417" s="6">
        <v>16000</v>
      </c>
      <c r="E417" s="6">
        <v>10</v>
      </c>
      <c r="F417" s="6">
        <v>8</v>
      </c>
    </row>
    <row r="418" spans="1:6" x14ac:dyDescent="0.3">
      <c r="A418" s="5" t="s">
        <v>2433</v>
      </c>
      <c r="B418" s="6">
        <v>223664</v>
      </c>
      <c r="C418" s="6">
        <v>0.58750000000000002</v>
      </c>
      <c r="D418" s="6">
        <v>1300</v>
      </c>
      <c r="E418" s="6">
        <v>14</v>
      </c>
      <c r="F418" s="6">
        <v>8</v>
      </c>
    </row>
    <row r="419" spans="1:6" x14ac:dyDescent="0.3">
      <c r="A419" s="5" t="s">
        <v>1944</v>
      </c>
      <c r="B419" s="6">
        <v>162950</v>
      </c>
      <c r="C419" s="6">
        <v>5.1186999999999996</v>
      </c>
      <c r="D419" s="6">
        <v>8200</v>
      </c>
      <c r="E419" s="6">
        <v>141</v>
      </c>
      <c r="F419" s="6">
        <v>8</v>
      </c>
    </row>
    <row r="420" spans="1:6" x14ac:dyDescent="0.3">
      <c r="A420" s="5" t="s">
        <v>2452</v>
      </c>
      <c r="B420" s="6">
        <v>1068337</v>
      </c>
      <c r="C420" s="6">
        <v>2.1000999999999999</v>
      </c>
      <c r="D420" s="6">
        <v>21500</v>
      </c>
      <c r="E420" s="6">
        <v>125</v>
      </c>
      <c r="F420" s="6">
        <v>7</v>
      </c>
    </row>
    <row r="421" spans="1:6" x14ac:dyDescent="0.3">
      <c r="A421" s="5" t="s">
        <v>2104</v>
      </c>
      <c r="B421" s="6">
        <v>7304043</v>
      </c>
      <c r="C421" s="6">
        <v>1.0583</v>
      </c>
      <c r="D421" s="6">
        <v>77000</v>
      </c>
      <c r="E421" s="6">
        <v>296</v>
      </c>
      <c r="F421" s="6">
        <v>7</v>
      </c>
    </row>
    <row r="422" spans="1:6" x14ac:dyDescent="0.3">
      <c r="A422" s="5" t="s">
        <v>2288</v>
      </c>
      <c r="B422" s="6">
        <v>830163</v>
      </c>
      <c r="C422" s="6">
        <v>2.1844000000000001</v>
      </c>
      <c r="D422" s="6">
        <v>18000</v>
      </c>
      <c r="E422" s="6">
        <v>134</v>
      </c>
      <c r="F422" s="6">
        <v>7</v>
      </c>
    </row>
    <row r="423" spans="1:6" x14ac:dyDescent="0.3">
      <c r="A423" s="5" t="s">
        <v>2896</v>
      </c>
      <c r="B423" s="6">
        <v>78000</v>
      </c>
      <c r="C423" s="6">
        <v>0.40510000000000002</v>
      </c>
      <c r="D423" s="6">
        <v>315</v>
      </c>
      <c r="E423" s="6">
        <v>1</v>
      </c>
      <c r="F423" s="6">
        <v>7</v>
      </c>
    </row>
    <row r="424" spans="1:6" x14ac:dyDescent="0.3">
      <c r="A424" s="5" t="s">
        <v>2303</v>
      </c>
      <c r="B424" s="6">
        <v>7833512</v>
      </c>
      <c r="C424" s="6">
        <v>0</v>
      </c>
      <c r="D424" s="6">
        <v>0</v>
      </c>
      <c r="E424" s="6">
        <v>0</v>
      </c>
      <c r="F424" s="6">
        <v>7</v>
      </c>
    </row>
    <row r="425" spans="1:6" x14ac:dyDescent="0.3">
      <c r="A425" s="5" t="s">
        <v>2253</v>
      </c>
      <c r="B425" s="6">
        <v>1014723</v>
      </c>
      <c r="C425" s="6">
        <v>1.7783</v>
      </c>
      <c r="D425" s="6">
        <v>18000</v>
      </c>
      <c r="E425" s="6">
        <v>45</v>
      </c>
      <c r="F425" s="6">
        <v>7</v>
      </c>
    </row>
    <row r="426" spans="1:6" x14ac:dyDescent="0.3">
      <c r="A426" s="5" t="s">
        <v>2505</v>
      </c>
      <c r="B426" s="6">
        <v>8782891</v>
      </c>
      <c r="C426" s="6">
        <v>2.1086999999999998</v>
      </c>
      <c r="D426" s="6">
        <v>185000</v>
      </c>
      <c r="E426" s="6">
        <v>201</v>
      </c>
      <c r="F426" s="6">
        <v>7</v>
      </c>
    </row>
    <row r="427" spans="1:6" x14ac:dyDescent="0.3">
      <c r="A427" s="5" t="s">
        <v>1936</v>
      </c>
      <c r="B427" s="6">
        <v>957636</v>
      </c>
      <c r="C427" s="6">
        <v>0.95640000000000003</v>
      </c>
      <c r="D427" s="6">
        <v>9100</v>
      </c>
      <c r="E427" s="6">
        <v>59</v>
      </c>
      <c r="F427" s="6">
        <v>7</v>
      </c>
    </row>
    <row r="428" spans="1:6" x14ac:dyDescent="0.3">
      <c r="A428" s="5" t="s">
        <v>1921</v>
      </c>
      <c r="B428" s="6">
        <v>3376017</v>
      </c>
      <c r="C428" s="6">
        <v>3.1154000000000002</v>
      </c>
      <c r="D428" s="6">
        <v>105000</v>
      </c>
      <c r="E428" s="6">
        <v>178</v>
      </c>
      <c r="F428" s="6">
        <v>7</v>
      </c>
    </row>
    <row r="429" spans="1:6" x14ac:dyDescent="0.3">
      <c r="A429" s="5" t="s">
        <v>2810</v>
      </c>
      <c r="B429" s="6">
        <v>1541296</v>
      </c>
      <c r="C429" s="6">
        <v>1.3788</v>
      </c>
      <c r="D429" s="6">
        <v>21000</v>
      </c>
      <c r="E429" s="6">
        <v>252</v>
      </c>
      <c r="F429" s="6">
        <v>7</v>
      </c>
    </row>
    <row r="430" spans="1:6" x14ac:dyDescent="0.3">
      <c r="A430" s="5" t="s">
        <v>2284</v>
      </c>
      <c r="B430" s="6">
        <v>2861327</v>
      </c>
      <c r="C430" s="6">
        <v>1.6493</v>
      </c>
      <c r="D430" s="6">
        <v>47000</v>
      </c>
      <c r="E430" s="6">
        <v>192</v>
      </c>
      <c r="F430" s="6">
        <v>7</v>
      </c>
    </row>
    <row r="431" spans="1:6" x14ac:dyDescent="0.3">
      <c r="A431" s="5" t="s">
        <v>2758</v>
      </c>
      <c r="B431" s="6">
        <v>319124</v>
      </c>
      <c r="C431" s="6">
        <v>1.5737000000000001</v>
      </c>
      <c r="D431" s="6">
        <v>5000</v>
      </c>
      <c r="E431" s="6">
        <v>22</v>
      </c>
      <c r="F431" s="6">
        <v>7</v>
      </c>
    </row>
    <row r="432" spans="1:6" x14ac:dyDescent="0.3">
      <c r="A432" s="5" t="s">
        <v>2735</v>
      </c>
      <c r="B432" s="6">
        <v>124982</v>
      </c>
      <c r="C432" s="6">
        <v>2.1882999999999999</v>
      </c>
      <c r="D432" s="6">
        <v>2700</v>
      </c>
      <c r="E432" s="6">
        <v>35</v>
      </c>
      <c r="F432" s="6">
        <v>7</v>
      </c>
    </row>
    <row r="433" spans="1:6" x14ac:dyDescent="0.3">
      <c r="A433" s="5" t="s">
        <v>2728</v>
      </c>
      <c r="B433" s="6">
        <v>3566879</v>
      </c>
      <c r="C433" s="6">
        <v>1.7786999999999999</v>
      </c>
      <c r="D433" s="6">
        <v>63000</v>
      </c>
      <c r="E433" s="6">
        <v>445</v>
      </c>
      <c r="F433" s="6">
        <v>7</v>
      </c>
    </row>
    <row r="434" spans="1:6" x14ac:dyDescent="0.3">
      <c r="A434" s="5" t="s">
        <v>2390</v>
      </c>
      <c r="B434" s="6">
        <v>3565053</v>
      </c>
      <c r="C434" s="6">
        <v>0.7883</v>
      </c>
      <c r="D434" s="6">
        <v>28000</v>
      </c>
      <c r="E434" s="6">
        <v>102</v>
      </c>
      <c r="F434" s="6">
        <v>7</v>
      </c>
    </row>
    <row r="435" spans="1:6" x14ac:dyDescent="0.3">
      <c r="A435" s="5" t="s">
        <v>2163</v>
      </c>
      <c r="B435" s="6">
        <v>960209</v>
      </c>
      <c r="C435" s="6">
        <v>1.1334</v>
      </c>
      <c r="D435" s="6">
        <v>10633.333333333334</v>
      </c>
      <c r="E435" s="6">
        <v>219.66666666666666</v>
      </c>
      <c r="F435" s="6">
        <v>7</v>
      </c>
    </row>
    <row r="436" spans="1:6" x14ac:dyDescent="0.3">
      <c r="A436" s="5" t="s">
        <v>2197</v>
      </c>
      <c r="B436" s="6">
        <v>3762943</v>
      </c>
      <c r="C436" s="6">
        <v>1.278</v>
      </c>
      <c r="D436" s="6">
        <v>48000</v>
      </c>
      <c r="E436" s="6">
        <v>92</v>
      </c>
      <c r="F436" s="6">
        <v>6</v>
      </c>
    </row>
    <row r="437" spans="1:6" x14ac:dyDescent="0.3">
      <c r="A437" s="5" t="s">
        <v>2859</v>
      </c>
      <c r="B437" s="6">
        <v>89183</v>
      </c>
      <c r="C437" s="6">
        <v>1.2344999999999999</v>
      </c>
      <c r="D437" s="6">
        <v>1100</v>
      </c>
      <c r="E437" s="6">
        <v>1</v>
      </c>
      <c r="F437" s="6">
        <v>6</v>
      </c>
    </row>
    <row r="438" spans="1:6" x14ac:dyDescent="0.3">
      <c r="A438" s="5" t="s">
        <v>2369</v>
      </c>
      <c r="B438" s="6">
        <v>342155</v>
      </c>
      <c r="C438" s="6">
        <v>2.0697999999999999</v>
      </c>
      <c r="D438" s="6">
        <v>7000</v>
      </c>
      <c r="E438" s="6">
        <v>82</v>
      </c>
      <c r="F438" s="6">
        <v>6</v>
      </c>
    </row>
    <row r="439" spans="1:6" x14ac:dyDescent="0.3">
      <c r="A439" s="5" t="s">
        <v>1975</v>
      </c>
      <c r="B439" s="6">
        <v>4625875</v>
      </c>
      <c r="C439" s="6">
        <v>0.90910000000000002</v>
      </c>
      <c r="D439" s="6">
        <v>42000</v>
      </c>
      <c r="E439" s="6">
        <v>56</v>
      </c>
      <c r="F439" s="6">
        <v>6</v>
      </c>
    </row>
    <row r="440" spans="1:6" x14ac:dyDescent="0.3">
      <c r="A440" s="5" t="s">
        <v>1979</v>
      </c>
      <c r="B440" s="6">
        <v>4480634</v>
      </c>
      <c r="C440" s="6">
        <v>3.5419</v>
      </c>
      <c r="D440" s="6">
        <v>158000</v>
      </c>
      <c r="E440" s="6">
        <v>700</v>
      </c>
      <c r="F440" s="6">
        <v>6</v>
      </c>
    </row>
    <row r="441" spans="1:6" x14ac:dyDescent="0.3">
      <c r="A441" s="5" t="s">
        <v>2886</v>
      </c>
      <c r="B441" s="6">
        <v>419107</v>
      </c>
      <c r="C441" s="6">
        <v>2.14</v>
      </c>
      <c r="D441" s="6">
        <v>8900</v>
      </c>
      <c r="E441" s="6">
        <v>69</v>
      </c>
      <c r="F441" s="6">
        <v>6</v>
      </c>
    </row>
    <row r="442" spans="1:6" x14ac:dyDescent="0.3">
      <c r="A442" s="5" t="s">
        <v>2292</v>
      </c>
      <c r="B442" s="6">
        <v>217495</v>
      </c>
      <c r="C442" s="6">
        <v>0.4602</v>
      </c>
      <c r="D442" s="6">
        <v>1000</v>
      </c>
      <c r="E442" s="6">
        <v>1</v>
      </c>
      <c r="F442" s="6">
        <v>6</v>
      </c>
    </row>
    <row r="443" spans="1:6" x14ac:dyDescent="0.3">
      <c r="A443" s="5" t="s">
        <v>2268</v>
      </c>
      <c r="B443" s="6">
        <v>1345702</v>
      </c>
      <c r="C443" s="6">
        <v>1.4891000000000001</v>
      </c>
      <c r="D443" s="6">
        <v>20000</v>
      </c>
      <c r="E443" s="6">
        <v>39</v>
      </c>
      <c r="F443" s="6">
        <v>6</v>
      </c>
    </row>
    <row r="444" spans="1:6" x14ac:dyDescent="0.3">
      <c r="A444" s="5" t="s">
        <v>2509</v>
      </c>
      <c r="B444" s="6">
        <v>75008</v>
      </c>
      <c r="C444" s="6">
        <v>4.1462000000000003</v>
      </c>
      <c r="D444" s="6">
        <v>3100</v>
      </c>
      <c r="E444" s="6">
        <v>10</v>
      </c>
      <c r="F444" s="6">
        <v>6</v>
      </c>
    </row>
    <row r="445" spans="1:6" x14ac:dyDescent="0.3">
      <c r="A445" s="5" t="s">
        <v>2905</v>
      </c>
      <c r="B445" s="6">
        <v>1937243</v>
      </c>
      <c r="C445" s="6">
        <v>2.3803000000000001</v>
      </c>
      <c r="D445" s="6">
        <v>46000</v>
      </c>
      <c r="E445" s="6">
        <v>113</v>
      </c>
      <c r="F445" s="6">
        <v>6</v>
      </c>
    </row>
    <row r="446" spans="1:6" x14ac:dyDescent="0.3">
      <c r="A446" s="5" t="s">
        <v>1770</v>
      </c>
      <c r="B446" s="6">
        <v>21134925</v>
      </c>
      <c r="C446" s="6">
        <v>0.45479999999999998</v>
      </c>
      <c r="D446" s="6">
        <v>96000</v>
      </c>
      <c r="E446" s="6">
        <v>113</v>
      </c>
      <c r="F446" s="6">
        <v>6</v>
      </c>
    </row>
    <row r="447" spans="1:6" x14ac:dyDescent="0.3">
      <c r="A447" s="5" t="s">
        <v>1929</v>
      </c>
      <c r="B447" s="6">
        <v>12036440</v>
      </c>
      <c r="C447" s="6">
        <v>2.3647</v>
      </c>
      <c r="D447" s="6">
        <v>283000</v>
      </c>
      <c r="E447" s="6">
        <v>1624</v>
      </c>
      <c r="F447" s="6">
        <v>6</v>
      </c>
    </row>
    <row r="448" spans="1:6" x14ac:dyDescent="0.3">
      <c r="A448" s="5" t="s">
        <v>1940</v>
      </c>
      <c r="B448" s="6">
        <v>1864099</v>
      </c>
      <c r="C448" s="6">
        <v>1.9381999999999999</v>
      </c>
      <c r="D448" s="6">
        <v>36000</v>
      </c>
      <c r="E448" s="6">
        <v>130</v>
      </c>
      <c r="F448" s="6">
        <v>6</v>
      </c>
    </row>
    <row r="449" spans="1:6" x14ac:dyDescent="0.3">
      <c r="A449" s="5" t="s">
        <v>2380</v>
      </c>
      <c r="B449" s="6">
        <v>1183745</v>
      </c>
      <c r="C449" s="6">
        <v>3.0648</v>
      </c>
      <c r="D449" s="6">
        <v>36000</v>
      </c>
      <c r="E449" s="6">
        <v>279</v>
      </c>
      <c r="F449" s="6">
        <v>6</v>
      </c>
    </row>
    <row r="450" spans="1:6" x14ac:dyDescent="0.3">
      <c r="A450" s="5" t="s">
        <v>2537</v>
      </c>
      <c r="B450" s="6">
        <v>461842</v>
      </c>
      <c r="C450" s="6">
        <v>3.9312</v>
      </c>
      <c r="D450" s="6">
        <v>18000</v>
      </c>
      <c r="E450" s="6">
        <v>156</v>
      </c>
      <c r="F450" s="6">
        <v>6</v>
      </c>
    </row>
    <row r="451" spans="1:6" x14ac:dyDescent="0.3">
      <c r="A451" s="5" t="s">
        <v>301</v>
      </c>
      <c r="B451" s="6">
        <v>5979</v>
      </c>
      <c r="C451" s="6">
        <v>6.9409999999999998</v>
      </c>
      <c r="D451" s="6">
        <v>358</v>
      </c>
      <c r="E451" s="6">
        <v>57</v>
      </c>
      <c r="F451" s="6">
        <v>6</v>
      </c>
    </row>
    <row r="452" spans="1:6" x14ac:dyDescent="0.3">
      <c r="A452" s="5" t="s">
        <v>2314</v>
      </c>
      <c r="B452" s="6">
        <v>765805</v>
      </c>
      <c r="C452" s="6">
        <v>1.8352999999999999</v>
      </c>
      <c r="D452" s="6">
        <v>14000</v>
      </c>
      <c r="E452" s="6">
        <v>55</v>
      </c>
      <c r="F452" s="6">
        <v>6</v>
      </c>
    </row>
    <row r="453" spans="1:6" x14ac:dyDescent="0.3">
      <c r="A453" s="5" t="s">
        <v>1925</v>
      </c>
      <c r="B453" s="6">
        <v>648065</v>
      </c>
      <c r="C453" s="6">
        <v>1.8563000000000001</v>
      </c>
      <c r="D453" s="6">
        <v>12000</v>
      </c>
      <c r="E453" s="6">
        <v>30</v>
      </c>
      <c r="F453" s="6">
        <v>6</v>
      </c>
    </row>
    <row r="454" spans="1:6" x14ac:dyDescent="0.3">
      <c r="A454" s="5" t="s">
        <v>2945</v>
      </c>
      <c r="B454" s="6">
        <v>2685014</v>
      </c>
      <c r="C454" s="6">
        <v>1.9842</v>
      </c>
      <c r="D454" s="6">
        <v>53000</v>
      </c>
      <c r="E454" s="6">
        <v>276</v>
      </c>
      <c r="F454" s="6">
        <v>6</v>
      </c>
    </row>
    <row r="455" spans="1:6" x14ac:dyDescent="0.3">
      <c r="A455" s="5" t="s">
        <v>1838</v>
      </c>
      <c r="B455" s="6">
        <v>1835758</v>
      </c>
      <c r="C455" s="6">
        <v>4.1054000000000004</v>
      </c>
      <c r="D455" s="6">
        <v>75000</v>
      </c>
      <c r="E455" s="6">
        <v>366</v>
      </c>
      <c r="F455" s="6">
        <v>6</v>
      </c>
    </row>
    <row r="456" spans="1:6" x14ac:dyDescent="0.3">
      <c r="A456" s="5" t="s">
        <v>1850</v>
      </c>
      <c r="B456" s="6">
        <v>217916</v>
      </c>
      <c r="C456" s="6">
        <v>0.33679999999999999</v>
      </c>
      <c r="D456" s="6">
        <v>730</v>
      </c>
      <c r="E456" s="6">
        <v>4</v>
      </c>
      <c r="F456" s="6">
        <v>6</v>
      </c>
    </row>
    <row r="457" spans="1:6" x14ac:dyDescent="0.3">
      <c r="A457" s="5" t="s">
        <v>1716</v>
      </c>
      <c r="B457" s="6">
        <v>348538</v>
      </c>
      <c r="C457" s="6">
        <v>0.4622</v>
      </c>
      <c r="D457" s="6">
        <v>1600</v>
      </c>
      <c r="E457" s="6">
        <v>11</v>
      </c>
      <c r="F457" s="6">
        <v>6</v>
      </c>
    </row>
    <row r="458" spans="1:6" x14ac:dyDescent="0.3">
      <c r="A458" s="5" t="s">
        <v>2594</v>
      </c>
      <c r="B458" s="6">
        <v>684043</v>
      </c>
      <c r="C458" s="6">
        <v>0.70289999999999997</v>
      </c>
      <c r="D458" s="6">
        <v>4800</v>
      </c>
      <c r="E458" s="6">
        <v>8</v>
      </c>
      <c r="F458" s="6">
        <v>6</v>
      </c>
    </row>
    <row r="459" spans="1:6" x14ac:dyDescent="0.3">
      <c r="A459" s="5" t="s">
        <v>2329</v>
      </c>
      <c r="B459" s="6">
        <v>2007258</v>
      </c>
      <c r="C459" s="6">
        <v>0.55279999999999996</v>
      </c>
      <c r="D459" s="6">
        <v>11000</v>
      </c>
      <c r="E459" s="6">
        <v>97</v>
      </c>
      <c r="F459" s="6">
        <v>6</v>
      </c>
    </row>
    <row r="460" spans="1:6" x14ac:dyDescent="0.3">
      <c r="A460" s="5" t="s">
        <v>1882</v>
      </c>
      <c r="B460" s="6">
        <v>3055467</v>
      </c>
      <c r="C460" s="6">
        <v>2.4575999999999998</v>
      </c>
      <c r="D460" s="6">
        <v>75000</v>
      </c>
      <c r="E460" s="6">
        <v>90</v>
      </c>
      <c r="F460" s="6">
        <v>6</v>
      </c>
    </row>
    <row r="461" spans="1:6" x14ac:dyDescent="0.3">
      <c r="A461" s="5" t="s">
        <v>2130</v>
      </c>
      <c r="B461" s="6">
        <v>1555417</v>
      </c>
      <c r="C461" s="6">
        <v>2.2574999999999998</v>
      </c>
      <c r="D461" s="6">
        <v>35000</v>
      </c>
      <c r="E461" s="6">
        <v>113</v>
      </c>
      <c r="F461" s="6">
        <v>6</v>
      </c>
    </row>
    <row r="462" spans="1:6" x14ac:dyDescent="0.3">
      <c r="A462" s="5" t="s">
        <v>2909</v>
      </c>
      <c r="B462" s="6">
        <v>75557</v>
      </c>
      <c r="C462" s="6">
        <v>1.8767</v>
      </c>
      <c r="D462" s="6">
        <v>1400</v>
      </c>
      <c r="E462" s="6">
        <v>18</v>
      </c>
      <c r="F462" s="6">
        <v>6</v>
      </c>
    </row>
    <row r="463" spans="1:6" x14ac:dyDescent="0.3">
      <c r="A463" s="5" t="s">
        <v>1886</v>
      </c>
      <c r="B463" s="6">
        <v>313945.33333333331</v>
      </c>
      <c r="C463" s="6">
        <v>0.62229999999999996</v>
      </c>
      <c r="D463" s="6">
        <v>1837</v>
      </c>
      <c r="E463" s="6">
        <v>2</v>
      </c>
      <c r="F463" s="6">
        <v>5.666666666666667</v>
      </c>
    </row>
    <row r="464" spans="1:6" x14ac:dyDescent="0.3">
      <c r="A464" s="5" t="s">
        <v>238</v>
      </c>
      <c r="B464" s="6">
        <v>8527</v>
      </c>
      <c r="C464" s="6">
        <v>8.2561</v>
      </c>
      <c r="D464" s="6">
        <v>568</v>
      </c>
      <c r="E464" s="6">
        <v>136</v>
      </c>
      <c r="F464" s="6">
        <v>5</v>
      </c>
    </row>
    <row r="465" spans="1:6" x14ac:dyDescent="0.3">
      <c r="A465" s="5" t="s">
        <v>1778</v>
      </c>
      <c r="B465" s="6">
        <v>1312839</v>
      </c>
      <c r="C465" s="6">
        <v>2.8218000000000001</v>
      </c>
      <c r="D465" s="6">
        <v>37000</v>
      </c>
      <c r="E465" s="6">
        <v>46</v>
      </c>
      <c r="F465" s="6">
        <v>5</v>
      </c>
    </row>
    <row r="466" spans="1:6" x14ac:dyDescent="0.3">
      <c r="A466" s="5" t="s">
        <v>1678</v>
      </c>
      <c r="B466" s="6">
        <v>3095863</v>
      </c>
      <c r="C466" s="6">
        <v>0.29420000000000002</v>
      </c>
      <c r="D466" s="6">
        <v>9100</v>
      </c>
      <c r="E466" s="6">
        <v>9</v>
      </c>
      <c r="F466" s="6">
        <v>5</v>
      </c>
    </row>
    <row r="467" spans="1:6" x14ac:dyDescent="0.3">
      <c r="A467" s="5" t="s">
        <v>1971</v>
      </c>
      <c r="B467" s="6">
        <v>824362</v>
      </c>
      <c r="C467" s="6">
        <v>2.4378000000000002</v>
      </c>
      <c r="D467" s="6">
        <v>20000</v>
      </c>
      <c r="E467" s="6">
        <v>96</v>
      </c>
      <c r="F467" s="6">
        <v>5</v>
      </c>
    </row>
    <row r="468" spans="1:6" x14ac:dyDescent="0.3">
      <c r="A468" s="5" t="s">
        <v>1688</v>
      </c>
      <c r="B468" s="6">
        <v>374034</v>
      </c>
      <c r="C468" s="6">
        <v>4.0159000000000002</v>
      </c>
      <c r="D468" s="6">
        <v>15000</v>
      </c>
      <c r="E468" s="6">
        <v>21</v>
      </c>
      <c r="F468" s="6">
        <v>5</v>
      </c>
    </row>
    <row r="469" spans="1:6" x14ac:dyDescent="0.3">
      <c r="A469" s="5" t="s">
        <v>2483</v>
      </c>
      <c r="B469" s="6">
        <v>161006</v>
      </c>
      <c r="C469" s="6">
        <v>3.9973999999999998</v>
      </c>
      <c r="D469" s="6">
        <v>6400</v>
      </c>
      <c r="E469" s="6">
        <v>36</v>
      </c>
      <c r="F469" s="6">
        <v>5</v>
      </c>
    </row>
    <row r="470" spans="1:6" x14ac:dyDescent="0.3">
      <c r="A470" s="5" t="s">
        <v>2651</v>
      </c>
      <c r="B470" s="6">
        <v>3586988</v>
      </c>
      <c r="C470" s="6">
        <v>1.6999999999999999E-3</v>
      </c>
      <c r="D470" s="6">
        <v>0</v>
      </c>
      <c r="E470" s="6">
        <v>62</v>
      </c>
      <c r="F470" s="6">
        <v>5</v>
      </c>
    </row>
    <row r="471" spans="1:6" x14ac:dyDescent="0.3">
      <c r="A471" s="5" t="s">
        <v>2325</v>
      </c>
      <c r="B471" s="6">
        <v>96246</v>
      </c>
      <c r="C471" s="6">
        <v>3.863</v>
      </c>
      <c r="D471" s="6">
        <v>3700</v>
      </c>
      <c r="E471" s="6">
        <v>18</v>
      </c>
      <c r="F471" s="6">
        <v>5</v>
      </c>
    </row>
    <row r="472" spans="1:6" x14ac:dyDescent="0.3">
      <c r="A472" s="5" t="s">
        <v>1894</v>
      </c>
      <c r="B472" s="6">
        <v>873720</v>
      </c>
      <c r="C472" s="6">
        <v>1.0913999999999999</v>
      </c>
      <c r="D472" s="6">
        <v>9400</v>
      </c>
      <c r="E472" s="6">
        <v>136</v>
      </c>
      <c r="F472" s="6">
        <v>5</v>
      </c>
    </row>
    <row r="473" spans="1:6" x14ac:dyDescent="0.3">
      <c r="A473" s="5" t="s">
        <v>1415</v>
      </c>
      <c r="B473" s="6">
        <v>544870</v>
      </c>
      <c r="C473" s="6">
        <v>1.3284</v>
      </c>
      <c r="D473" s="6">
        <v>7200</v>
      </c>
      <c r="E473" s="6">
        <v>38</v>
      </c>
      <c r="F473" s="6">
        <v>5</v>
      </c>
    </row>
    <row r="474" spans="1:6" x14ac:dyDescent="0.3">
      <c r="A474" s="5" t="s">
        <v>1505</v>
      </c>
      <c r="B474" s="6">
        <v>3287392</v>
      </c>
      <c r="C474" s="6">
        <v>4.1143999999999998</v>
      </c>
      <c r="D474" s="6">
        <v>135000</v>
      </c>
      <c r="E474" s="6">
        <v>256</v>
      </c>
      <c r="F474" s="6">
        <v>5</v>
      </c>
    </row>
    <row r="475" spans="1:6" x14ac:dyDescent="0.3">
      <c r="A475" s="5" t="s">
        <v>2659</v>
      </c>
      <c r="B475" s="6">
        <v>1453028</v>
      </c>
      <c r="C475" s="6">
        <v>4.1999999999999997E-3</v>
      </c>
      <c r="D475" s="6">
        <v>0</v>
      </c>
      <c r="E475" s="6">
        <v>61</v>
      </c>
      <c r="F475" s="6">
        <v>5</v>
      </c>
    </row>
    <row r="476" spans="1:6" x14ac:dyDescent="0.3">
      <c r="A476" s="5" t="s">
        <v>1642</v>
      </c>
      <c r="B476" s="6">
        <v>758384</v>
      </c>
      <c r="C476" s="6">
        <v>3.2837000000000001</v>
      </c>
      <c r="D476" s="6">
        <v>24000</v>
      </c>
      <c r="E476" s="6">
        <v>903</v>
      </c>
      <c r="F476" s="6">
        <v>5</v>
      </c>
    </row>
    <row r="477" spans="1:6" x14ac:dyDescent="0.3">
      <c r="A477" s="5" t="s">
        <v>2697</v>
      </c>
      <c r="B477" s="6">
        <v>1389611.5</v>
      </c>
      <c r="C477" s="6">
        <v>1.7864</v>
      </c>
      <c r="D477" s="6">
        <v>24000</v>
      </c>
      <c r="E477" s="6">
        <v>220</v>
      </c>
      <c r="F477" s="6">
        <v>5</v>
      </c>
    </row>
    <row r="478" spans="1:6" x14ac:dyDescent="0.3">
      <c r="A478" s="5" t="s">
        <v>2437</v>
      </c>
      <c r="B478" s="6">
        <v>393422</v>
      </c>
      <c r="C478" s="6">
        <v>2.7000000000000001E-3</v>
      </c>
      <c r="D478" s="6">
        <v>0</v>
      </c>
      <c r="E478" s="6">
        <v>9</v>
      </c>
      <c r="F478" s="6">
        <v>4.5</v>
      </c>
    </row>
    <row r="479" spans="1:6" x14ac:dyDescent="0.3">
      <c r="A479" s="5" t="s">
        <v>52</v>
      </c>
      <c r="B479" s="6">
        <v>4391955.333333333</v>
      </c>
      <c r="C479" s="6">
        <v>2.9771000000000001</v>
      </c>
      <c r="D479" s="6">
        <v>94333.333333333328</v>
      </c>
      <c r="E479" s="6">
        <v>5321</v>
      </c>
      <c r="F479" s="6">
        <v>4.333333333333333</v>
      </c>
    </row>
    <row r="480" spans="1:6" x14ac:dyDescent="0.3">
      <c r="A480" s="5" t="s">
        <v>2501</v>
      </c>
      <c r="B480" s="6">
        <v>2557212.5</v>
      </c>
      <c r="C480" s="6">
        <v>2.6049000000000002</v>
      </c>
      <c r="D480" s="6">
        <v>44500</v>
      </c>
      <c r="E480" s="6">
        <v>56.5</v>
      </c>
      <c r="F480" s="6">
        <v>4</v>
      </c>
    </row>
    <row r="481" spans="1:6" x14ac:dyDescent="0.3">
      <c r="A481" s="5" t="s">
        <v>2189</v>
      </c>
      <c r="B481" s="6">
        <v>374659</v>
      </c>
      <c r="C481" s="6">
        <v>4.2938000000000001</v>
      </c>
      <c r="D481" s="6">
        <v>16000</v>
      </c>
      <c r="E481" s="6">
        <v>87</v>
      </c>
      <c r="F481" s="6">
        <v>4</v>
      </c>
    </row>
    <row r="482" spans="1:6" x14ac:dyDescent="0.3">
      <c r="A482" s="5" t="s">
        <v>1964</v>
      </c>
      <c r="B482" s="6">
        <v>2559824</v>
      </c>
      <c r="C482" s="6">
        <v>1.6075999999999999</v>
      </c>
      <c r="D482" s="6">
        <v>41000</v>
      </c>
      <c r="E482" s="6">
        <v>152</v>
      </c>
      <c r="F482" s="6">
        <v>4</v>
      </c>
    </row>
    <row r="483" spans="1:6" x14ac:dyDescent="0.3">
      <c r="A483" s="5" t="s">
        <v>2249</v>
      </c>
      <c r="B483" s="6">
        <v>1143654</v>
      </c>
      <c r="C483" s="6">
        <v>4.4325000000000001</v>
      </c>
      <c r="D483" s="6">
        <v>50000</v>
      </c>
      <c r="E483" s="6">
        <v>693</v>
      </c>
      <c r="F483" s="6">
        <v>4</v>
      </c>
    </row>
    <row r="484" spans="1:6" x14ac:dyDescent="0.3">
      <c r="A484" s="5" t="s">
        <v>2590</v>
      </c>
      <c r="B484" s="6">
        <v>861604</v>
      </c>
      <c r="C484" s="6">
        <v>2.4114</v>
      </c>
      <c r="D484" s="6">
        <v>20000</v>
      </c>
      <c r="E484" s="6">
        <v>777</v>
      </c>
      <c r="F484" s="6">
        <v>4</v>
      </c>
    </row>
    <row r="485" spans="1:6" x14ac:dyDescent="0.3">
      <c r="A485" s="5" t="s">
        <v>1948</v>
      </c>
      <c r="B485" s="6">
        <v>1030194</v>
      </c>
      <c r="C485" s="6">
        <v>1.1927000000000001</v>
      </c>
      <c r="D485" s="6">
        <v>12000</v>
      </c>
      <c r="E485" s="6">
        <v>287</v>
      </c>
      <c r="F485" s="6">
        <v>4</v>
      </c>
    </row>
    <row r="486" spans="1:6" x14ac:dyDescent="0.3">
      <c r="A486" s="5" t="s">
        <v>2193</v>
      </c>
      <c r="B486" s="6">
        <v>1557117</v>
      </c>
      <c r="C486" s="6">
        <v>1.4154</v>
      </c>
      <c r="D486" s="6">
        <v>22000</v>
      </c>
      <c r="E486" s="6">
        <v>40</v>
      </c>
      <c r="F486" s="6">
        <v>4</v>
      </c>
    </row>
    <row r="487" spans="1:6" x14ac:dyDescent="0.3">
      <c r="A487" s="5" t="s">
        <v>1287</v>
      </c>
      <c r="B487" s="6">
        <v>3696170</v>
      </c>
      <c r="C487" s="6">
        <v>2.0181</v>
      </c>
      <c r="D487" s="6">
        <v>74000</v>
      </c>
      <c r="E487" s="6">
        <v>592</v>
      </c>
      <c r="F487" s="6">
        <v>4</v>
      </c>
    </row>
    <row r="488" spans="1:6" x14ac:dyDescent="0.3">
      <c r="A488" s="5" t="s">
        <v>2621</v>
      </c>
      <c r="B488" s="6">
        <v>4877517</v>
      </c>
      <c r="C488" s="6">
        <v>1.1659999999999999</v>
      </c>
      <c r="D488" s="6">
        <v>56000</v>
      </c>
      <c r="E488" s="6">
        <v>871</v>
      </c>
      <c r="F488" s="6">
        <v>4</v>
      </c>
    </row>
    <row r="489" spans="1:6" x14ac:dyDescent="0.3">
      <c r="A489" s="5" t="s">
        <v>2066</v>
      </c>
      <c r="B489" s="6">
        <v>331388</v>
      </c>
      <c r="C489" s="6">
        <v>2.5175999999999998</v>
      </c>
      <c r="D489" s="6">
        <v>7900</v>
      </c>
      <c r="E489" s="6">
        <v>443</v>
      </c>
      <c r="F489" s="6">
        <v>4</v>
      </c>
    </row>
    <row r="490" spans="1:6" x14ac:dyDescent="0.3">
      <c r="A490" s="5" t="s">
        <v>2874</v>
      </c>
      <c r="B490" s="6">
        <v>577118</v>
      </c>
      <c r="C490" s="6">
        <v>1.5435000000000001</v>
      </c>
      <c r="D490" s="6">
        <v>8600</v>
      </c>
      <c r="E490" s="6">
        <v>308</v>
      </c>
      <c r="F490" s="6">
        <v>4</v>
      </c>
    </row>
    <row r="491" spans="1:6" x14ac:dyDescent="0.3">
      <c r="A491" s="5" t="s">
        <v>2238</v>
      </c>
      <c r="B491" s="6">
        <v>413630</v>
      </c>
      <c r="C491" s="6">
        <v>3.3959999999999999</v>
      </c>
      <c r="D491" s="6">
        <v>13000</v>
      </c>
      <c r="E491" s="6">
        <v>1047</v>
      </c>
      <c r="F491" s="6">
        <v>4</v>
      </c>
    </row>
    <row r="492" spans="1:6" x14ac:dyDescent="0.3">
      <c r="A492" s="5" t="s">
        <v>250</v>
      </c>
      <c r="B492" s="6">
        <v>65873</v>
      </c>
      <c r="C492" s="6">
        <v>5.7321999999999997</v>
      </c>
      <c r="D492" s="6">
        <v>3600</v>
      </c>
      <c r="E492" s="6">
        <v>176</v>
      </c>
      <c r="F492" s="6">
        <v>4</v>
      </c>
    </row>
    <row r="493" spans="1:6" x14ac:dyDescent="0.3">
      <c r="A493" s="5" t="s">
        <v>1334</v>
      </c>
      <c r="B493" s="6">
        <v>3714088</v>
      </c>
      <c r="C493" s="6">
        <v>2.2942999999999998</v>
      </c>
      <c r="D493" s="6">
        <v>85000</v>
      </c>
      <c r="E493" s="6">
        <v>214</v>
      </c>
      <c r="F493" s="6">
        <v>4</v>
      </c>
    </row>
    <row r="494" spans="1:6" x14ac:dyDescent="0.3">
      <c r="A494" s="5" t="s">
        <v>2867</v>
      </c>
      <c r="B494" s="6">
        <v>380752</v>
      </c>
      <c r="C494" s="6">
        <v>2.4037000000000002</v>
      </c>
      <c r="D494" s="6">
        <v>8800</v>
      </c>
      <c r="E494" s="6">
        <v>352</v>
      </c>
      <c r="F494" s="6">
        <v>4</v>
      </c>
    </row>
    <row r="495" spans="1:6" x14ac:dyDescent="0.3">
      <c r="A495" s="5" t="s">
        <v>1917</v>
      </c>
      <c r="B495" s="6">
        <v>798242</v>
      </c>
      <c r="C495" s="6">
        <v>1.0928</v>
      </c>
      <c r="D495" s="6">
        <v>8700</v>
      </c>
      <c r="E495" s="6">
        <v>23</v>
      </c>
      <c r="F495" s="6">
        <v>4</v>
      </c>
    </row>
    <row r="496" spans="1:6" x14ac:dyDescent="0.3">
      <c r="A496" s="5" t="s">
        <v>1854</v>
      </c>
      <c r="B496" s="6">
        <v>728301</v>
      </c>
      <c r="C496" s="6">
        <v>1.6537999999999999</v>
      </c>
      <c r="D496" s="6">
        <v>12000</v>
      </c>
      <c r="E496" s="6">
        <v>45</v>
      </c>
      <c r="F496" s="6">
        <v>4</v>
      </c>
    </row>
    <row r="497" spans="1:6" x14ac:dyDescent="0.3">
      <c r="A497" s="5" t="s">
        <v>2920</v>
      </c>
      <c r="B497" s="6">
        <v>2116657</v>
      </c>
      <c r="C497" s="6">
        <v>2.4668000000000001</v>
      </c>
      <c r="D497" s="6">
        <v>52000</v>
      </c>
      <c r="E497" s="6">
        <v>214</v>
      </c>
      <c r="F497" s="6">
        <v>4</v>
      </c>
    </row>
    <row r="498" spans="1:6" x14ac:dyDescent="0.3">
      <c r="A498" s="5" t="s">
        <v>1802</v>
      </c>
      <c r="B498" s="6">
        <v>563924</v>
      </c>
      <c r="C498" s="6">
        <v>3.7444999999999999</v>
      </c>
      <c r="D498" s="6">
        <v>21000</v>
      </c>
      <c r="E498" s="6">
        <v>116</v>
      </c>
      <c r="F498" s="6">
        <v>3</v>
      </c>
    </row>
    <row r="499" spans="1:6" x14ac:dyDescent="0.3">
      <c r="A499" s="5" t="s">
        <v>1602</v>
      </c>
      <c r="B499" s="6">
        <v>3115336</v>
      </c>
      <c r="C499" s="6">
        <v>2.9037000000000002</v>
      </c>
      <c r="D499" s="6">
        <v>90000</v>
      </c>
      <c r="E499" s="6">
        <v>460</v>
      </c>
      <c r="F499" s="6">
        <v>3</v>
      </c>
    </row>
    <row r="500" spans="1:6" x14ac:dyDescent="0.3">
      <c r="A500" s="5" t="s">
        <v>2014</v>
      </c>
      <c r="B500" s="6">
        <v>690487</v>
      </c>
      <c r="C500" s="6">
        <v>1.2039</v>
      </c>
      <c r="D500" s="6">
        <v>8300</v>
      </c>
      <c r="E500" s="6">
        <v>13</v>
      </c>
      <c r="F500" s="6">
        <v>3</v>
      </c>
    </row>
    <row r="501" spans="1:6" x14ac:dyDescent="0.3">
      <c r="A501" s="5" t="s">
        <v>230</v>
      </c>
      <c r="B501" s="6">
        <v>24551</v>
      </c>
      <c r="C501" s="6">
        <v>3.4948000000000001</v>
      </c>
      <c r="D501" s="6">
        <v>784</v>
      </c>
      <c r="E501" s="6">
        <v>74</v>
      </c>
      <c r="F501" s="6">
        <v>3</v>
      </c>
    </row>
    <row r="502" spans="1:6" x14ac:dyDescent="0.3">
      <c r="A502" s="5" t="s">
        <v>2201</v>
      </c>
      <c r="B502" s="6">
        <v>359013</v>
      </c>
      <c r="C502" s="6">
        <v>4.4999999999999997E-3</v>
      </c>
      <c r="D502" s="6">
        <v>0</v>
      </c>
      <c r="E502" s="6">
        <v>16</v>
      </c>
      <c r="F502" s="6">
        <v>3</v>
      </c>
    </row>
    <row r="503" spans="1:6" x14ac:dyDescent="0.3">
      <c r="A503" s="5" t="s">
        <v>2715</v>
      </c>
      <c r="B503" s="6">
        <v>589988</v>
      </c>
      <c r="C503" s="6">
        <v>1.4582999999999999</v>
      </c>
      <c r="D503" s="6">
        <v>8600</v>
      </c>
      <c r="E503" s="6">
        <v>4</v>
      </c>
      <c r="F503" s="6">
        <v>3</v>
      </c>
    </row>
    <row r="504" spans="1:6" x14ac:dyDescent="0.3">
      <c r="A504" s="5" t="s">
        <v>1782</v>
      </c>
      <c r="B504" s="6">
        <v>955560</v>
      </c>
      <c r="C504" s="6">
        <v>0.43980000000000002</v>
      </c>
      <c r="D504" s="6">
        <v>4200</v>
      </c>
      <c r="E504" s="6">
        <v>3</v>
      </c>
      <c r="F504" s="6">
        <v>3</v>
      </c>
    </row>
    <row r="505" spans="1:6" x14ac:dyDescent="0.3">
      <c r="A505" s="5" t="s">
        <v>969</v>
      </c>
      <c r="B505" s="6">
        <v>608493</v>
      </c>
      <c r="C505" s="6">
        <v>2.1465000000000001</v>
      </c>
      <c r="D505" s="6">
        <v>13000</v>
      </c>
      <c r="E505" s="6">
        <v>61</v>
      </c>
      <c r="F505" s="6">
        <v>3</v>
      </c>
    </row>
    <row r="506" spans="1:6" x14ac:dyDescent="0.3">
      <c r="A506" s="5" t="s">
        <v>134</v>
      </c>
      <c r="B506" s="6">
        <v>1047438</v>
      </c>
      <c r="C506" s="6">
        <v>0.73619999999999997</v>
      </c>
      <c r="D506" s="6">
        <v>7500</v>
      </c>
      <c r="E506" s="6">
        <v>211</v>
      </c>
      <c r="F506" s="6">
        <v>3</v>
      </c>
    </row>
    <row r="507" spans="1:6" x14ac:dyDescent="0.3">
      <c r="A507" s="5" t="s">
        <v>142</v>
      </c>
      <c r="B507" s="6">
        <v>141796</v>
      </c>
      <c r="C507" s="6">
        <v>1.5754999999999999</v>
      </c>
      <c r="D507" s="6">
        <v>2200</v>
      </c>
      <c r="E507" s="6">
        <v>34</v>
      </c>
      <c r="F507" s="6">
        <v>3</v>
      </c>
    </row>
    <row r="508" spans="1:6" x14ac:dyDescent="0.3">
      <c r="A508" s="5" t="s">
        <v>173</v>
      </c>
      <c r="B508" s="6">
        <v>749723</v>
      </c>
      <c r="C508" s="6">
        <v>3.5181</v>
      </c>
      <c r="D508" s="6">
        <v>26000</v>
      </c>
      <c r="E508" s="6">
        <v>376</v>
      </c>
      <c r="F508" s="6">
        <v>3</v>
      </c>
    </row>
    <row r="509" spans="1:6" x14ac:dyDescent="0.3">
      <c r="A509" s="5" t="s">
        <v>1411</v>
      </c>
      <c r="B509" s="6">
        <v>965463</v>
      </c>
      <c r="C509" s="6">
        <v>4.0842999999999998</v>
      </c>
      <c r="D509" s="6">
        <v>39000</v>
      </c>
      <c r="E509" s="6">
        <v>432</v>
      </c>
      <c r="F509" s="6">
        <v>3</v>
      </c>
    </row>
    <row r="510" spans="1:6" x14ac:dyDescent="0.3">
      <c r="A510" s="5" t="s">
        <v>1532</v>
      </c>
      <c r="B510" s="6">
        <v>29227</v>
      </c>
      <c r="C510" s="6">
        <v>1.6184000000000001</v>
      </c>
      <c r="D510" s="6">
        <v>414</v>
      </c>
      <c r="E510" s="6">
        <v>59</v>
      </c>
      <c r="F510" s="6">
        <v>3</v>
      </c>
    </row>
    <row r="511" spans="1:6" x14ac:dyDescent="0.3">
      <c r="A511" s="5" t="s">
        <v>420</v>
      </c>
      <c r="B511" s="6">
        <v>47538</v>
      </c>
      <c r="C511" s="6">
        <v>6.1802999999999999</v>
      </c>
      <c r="D511" s="6">
        <v>2700</v>
      </c>
      <c r="E511" s="6">
        <v>238</v>
      </c>
      <c r="F511" s="6">
        <v>3</v>
      </c>
    </row>
    <row r="512" spans="1:6" x14ac:dyDescent="0.3">
      <c r="A512" s="5" t="s">
        <v>1866</v>
      </c>
      <c r="B512" s="6">
        <v>812978</v>
      </c>
      <c r="C512" s="6">
        <v>4.3200000000000002E-2</v>
      </c>
      <c r="D512" s="6">
        <v>0</v>
      </c>
      <c r="E512" s="6">
        <v>87.5</v>
      </c>
      <c r="F512" s="6">
        <v>3</v>
      </c>
    </row>
    <row r="513" spans="1:6" x14ac:dyDescent="0.3">
      <c r="A513" s="5" t="s">
        <v>1283</v>
      </c>
      <c r="B513" s="6">
        <v>1256006.5</v>
      </c>
      <c r="C513" s="6">
        <v>5.7896000000000001</v>
      </c>
      <c r="D513" s="6">
        <v>47500</v>
      </c>
      <c r="E513" s="6">
        <v>428</v>
      </c>
      <c r="F513" s="6">
        <v>2.5</v>
      </c>
    </row>
    <row r="514" spans="1:6" x14ac:dyDescent="0.3">
      <c r="A514" s="5" t="s">
        <v>745</v>
      </c>
      <c r="B514" s="6">
        <v>105502</v>
      </c>
      <c r="C514" s="6">
        <v>3.0066000000000002</v>
      </c>
      <c r="D514" s="6">
        <v>3100</v>
      </c>
      <c r="E514" s="6">
        <v>72</v>
      </c>
      <c r="F514" s="6">
        <v>2</v>
      </c>
    </row>
    <row r="515" spans="1:6" x14ac:dyDescent="0.3">
      <c r="A515" s="5" t="s">
        <v>82</v>
      </c>
      <c r="B515" s="6">
        <v>699633</v>
      </c>
      <c r="C515" s="6">
        <v>1.2884</v>
      </c>
      <c r="D515" s="6">
        <v>7900</v>
      </c>
      <c r="E515" s="6">
        <v>1114</v>
      </c>
      <c r="F515" s="6">
        <v>2</v>
      </c>
    </row>
    <row r="516" spans="1:6" x14ac:dyDescent="0.3">
      <c r="A516" s="5" t="s">
        <v>1870</v>
      </c>
      <c r="B516" s="6">
        <v>1743622</v>
      </c>
      <c r="C516" s="6">
        <v>4.0416999999999996</v>
      </c>
      <c r="D516" s="6">
        <v>70000</v>
      </c>
      <c r="E516" s="6">
        <v>472</v>
      </c>
      <c r="F516" s="6">
        <v>2</v>
      </c>
    </row>
    <row r="517" spans="1:6" x14ac:dyDescent="0.3">
      <c r="A517" s="5" t="s">
        <v>1826</v>
      </c>
      <c r="B517" s="6">
        <v>59798</v>
      </c>
      <c r="C517" s="6">
        <v>0.15720000000000001</v>
      </c>
      <c r="D517" s="6">
        <v>91</v>
      </c>
      <c r="E517" s="6">
        <v>3</v>
      </c>
      <c r="F517" s="6">
        <v>2</v>
      </c>
    </row>
    <row r="518" spans="1:6" x14ac:dyDescent="0.3">
      <c r="A518" s="5" t="s">
        <v>1112</v>
      </c>
      <c r="B518" s="6">
        <v>89441</v>
      </c>
      <c r="C518" s="6">
        <v>0.66859999999999997</v>
      </c>
      <c r="D518" s="6">
        <v>590</v>
      </c>
      <c r="E518" s="6">
        <v>8</v>
      </c>
      <c r="F518" s="6">
        <v>1</v>
      </c>
    </row>
    <row r="519" spans="1:6" x14ac:dyDescent="0.3">
      <c r="A519" s="5" t="s">
        <v>1572</v>
      </c>
      <c r="B519" s="6">
        <v>4593</v>
      </c>
      <c r="C519" s="6">
        <v>5.4431000000000003</v>
      </c>
      <c r="D519" s="6">
        <v>250</v>
      </c>
      <c r="E519" s="6">
        <v>0</v>
      </c>
      <c r="F519" s="6">
        <v>1</v>
      </c>
    </row>
    <row r="520" spans="1:6" x14ac:dyDescent="0.3">
      <c r="A520" s="5" t="s">
        <v>1606</v>
      </c>
      <c r="B520" s="6">
        <v>804689</v>
      </c>
      <c r="C520" s="6">
        <v>1.7464999999999999</v>
      </c>
      <c r="D520" s="6">
        <v>14000</v>
      </c>
      <c r="E520" s="6">
        <v>54</v>
      </c>
      <c r="F520" s="6">
        <v>1</v>
      </c>
    </row>
    <row r="521" spans="1:6" x14ac:dyDescent="0.3">
      <c r="A521" s="5" t="s">
        <v>473</v>
      </c>
      <c r="B521" s="6">
        <v>3809</v>
      </c>
      <c r="C521" s="6">
        <v>16.907299999999999</v>
      </c>
      <c r="D521" s="6">
        <v>535</v>
      </c>
      <c r="E521" s="6">
        <v>109</v>
      </c>
      <c r="F521" s="6">
        <v>1</v>
      </c>
    </row>
    <row r="522" spans="1:6" x14ac:dyDescent="0.3">
      <c r="A522" s="5" t="s">
        <v>200</v>
      </c>
      <c r="B522" s="6">
        <v>7032</v>
      </c>
      <c r="C522" s="6">
        <v>3.3134000000000001</v>
      </c>
      <c r="D522" s="6">
        <v>233</v>
      </c>
      <c r="E522" s="6">
        <v>0</v>
      </c>
      <c r="F522" s="6">
        <v>1</v>
      </c>
    </row>
    <row r="523" spans="1:6" x14ac:dyDescent="0.3">
      <c r="A523" s="5" t="s">
        <v>1755</v>
      </c>
      <c r="B523" s="6">
        <v>396391</v>
      </c>
      <c r="C523" s="6">
        <v>5.4058000000000002</v>
      </c>
      <c r="D523" s="6">
        <v>21000</v>
      </c>
      <c r="E523" s="6">
        <v>428</v>
      </c>
      <c r="F523" s="6">
        <v>1</v>
      </c>
    </row>
    <row r="524" spans="1:6" x14ac:dyDescent="0.3">
      <c r="A524" s="5" t="s">
        <v>371</v>
      </c>
      <c r="B524" s="6">
        <v>303</v>
      </c>
      <c r="C524" s="6">
        <v>18.811900000000001</v>
      </c>
      <c r="D524" s="6">
        <v>53</v>
      </c>
      <c r="E524" s="6">
        <v>4</v>
      </c>
      <c r="F524" s="6">
        <v>1</v>
      </c>
    </row>
    <row r="525" spans="1:6" x14ac:dyDescent="0.3">
      <c r="A525" s="5" t="s">
        <v>2841</v>
      </c>
      <c r="B525" s="6">
        <v>23482</v>
      </c>
      <c r="C525" s="6">
        <v>2.0186000000000002</v>
      </c>
      <c r="D525" s="6">
        <v>470</v>
      </c>
      <c r="E525" s="6">
        <v>4</v>
      </c>
      <c r="F525" s="6">
        <v>1</v>
      </c>
    </row>
    <row r="526" spans="1:6" x14ac:dyDescent="0.3">
      <c r="A526" s="5" t="s">
        <v>1275</v>
      </c>
      <c r="B526" s="6">
        <v>3483</v>
      </c>
      <c r="C526" s="6">
        <v>0.54549999999999998</v>
      </c>
      <c r="D526" s="6">
        <v>15</v>
      </c>
      <c r="E526" s="6">
        <v>4</v>
      </c>
      <c r="F526" s="6">
        <v>1</v>
      </c>
    </row>
    <row r="527" spans="1:6" x14ac:dyDescent="0.3">
      <c r="A527" s="5" t="s">
        <v>2100</v>
      </c>
      <c r="B527" s="6">
        <v>567</v>
      </c>
      <c r="C527" s="6">
        <v>4.7618999999999998</v>
      </c>
      <c r="D527" s="6">
        <v>26</v>
      </c>
      <c r="E527" s="6">
        <v>1</v>
      </c>
      <c r="F527" s="6">
        <v>1</v>
      </c>
    </row>
    <row r="528" spans="1:6" x14ac:dyDescent="0.3">
      <c r="A528" s="5" t="s">
        <v>2751</v>
      </c>
      <c r="B528" s="6">
        <v>45933</v>
      </c>
      <c r="C528" s="6">
        <v>1.6698</v>
      </c>
      <c r="D528" s="6">
        <v>757</v>
      </c>
      <c r="E528" s="6">
        <v>10</v>
      </c>
      <c r="F528" s="6">
        <v>1</v>
      </c>
    </row>
    <row r="529" spans="1:6" x14ac:dyDescent="0.3">
      <c r="A529" s="5" t="s">
        <v>1646</v>
      </c>
      <c r="B529" s="6">
        <v>16253</v>
      </c>
      <c r="C529" s="6">
        <v>1.1752</v>
      </c>
      <c r="D529" s="6">
        <v>189</v>
      </c>
      <c r="E529" s="6">
        <v>2</v>
      </c>
      <c r="F529" s="6">
        <v>1</v>
      </c>
    </row>
    <row r="530" spans="1:6" x14ac:dyDescent="0.3">
      <c r="A530" s="5" t="s">
        <v>1355</v>
      </c>
      <c r="B530" s="6">
        <v>524610</v>
      </c>
      <c r="C530" s="6">
        <v>4.0000000000000002E-4</v>
      </c>
      <c r="D530" s="6">
        <v>0</v>
      </c>
      <c r="E530" s="6">
        <v>2</v>
      </c>
      <c r="F530" s="6">
        <v>1</v>
      </c>
    </row>
    <row r="531" spans="1:6" x14ac:dyDescent="0.3">
      <c r="A531" s="5" t="s">
        <v>1956</v>
      </c>
      <c r="B531" s="6">
        <v>41435</v>
      </c>
      <c r="C531" s="6">
        <v>2.1623999999999999</v>
      </c>
      <c r="D531" s="6">
        <v>887</v>
      </c>
      <c r="E531" s="6">
        <v>9</v>
      </c>
      <c r="F531" s="6">
        <v>1</v>
      </c>
    </row>
    <row r="532" spans="1:6" x14ac:dyDescent="0.3">
      <c r="A532" s="5" t="s">
        <v>278</v>
      </c>
      <c r="B532" s="6">
        <v>16560</v>
      </c>
      <c r="C532" s="6">
        <v>4.3719999999999999</v>
      </c>
      <c r="D532" s="6">
        <v>711</v>
      </c>
      <c r="E532" s="6">
        <v>13</v>
      </c>
      <c r="F532" s="6">
        <v>1</v>
      </c>
    </row>
    <row r="533" spans="1:6" x14ac:dyDescent="0.3">
      <c r="A533" s="5" t="s">
        <v>286</v>
      </c>
      <c r="B533" s="6">
        <v>4095</v>
      </c>
      <c r="C533" s="6">
        <v>2.6861999999999999</v>
      </c>
      <c r="D533" s="6">
        <v>110</v>
      </c>
      <c r="E533" s="6">
        <v>0</v>
      </c>
      <c r="F533" s="6">
        <v>1</v>
      </c>
    </row>
    <row r="534" spans="1:6" x14ac:dyDescent="0.3">
      <c r="A534" s="5" t="s">
        <v>1137</v>
      </c>
      <c r="B534" s="6">
        <v>193468</v>
      </c>
      <c r="C534" s="6">
        <v>1E-3</v>
      </c>
      <c r="D534" s="6">
        <v>0</v>
      </c>
      <c r="E534" s="6">
        <v>2</v>
      </c>
      <c r="F534" s="6">
        <v>1</v>
      </c>
    </row>
    <row r="535" spans="1:6" x14ac:dyDescent="0.3">
      <c r="A535" s="5" t="s">
        <v>1874</v>
      </c>
      <c r="B535" s="6">
        <v>1695</v>
      </c>
      <c r="C535" s="6">
        <v>1.5929</v>
      </c>
      <c r="D535" s="6">
        <v>27</v>
      </c>
      <c r="E535" s="6">
        <v>0</v>
      </c>
      <c r="F535" s="6">
        <v>1</v>
      </c>
    </row>
    <row r="536" spans="1:6" x14ac:dyDescent="0.3">
      <c r="A536" s="5" t="s">
        <v>919</v>
      </c>
      <c r="B536" s="6">
        <v>3536</v>
      </c>
      <c r="C536" s="6">
        <v>0</v>
      </c>
      <c r="D536" s="6">
        <v>0</v>
      </c>
      <c r="E536" s="6">
        <v>0</v>
      </c>
      <c r="F536" s="6">
        <v>1</v>
      </c>
    </row>
    <row r="537" spans="1:6" x14ac:dyDescent="0.3">
      <c r="A537" s="5" t="s">
        <v>2215</v>
      </c>
      <c r="B537" s="6">
        <v>281270</v>
      </c>
      <c r="C537" s="6">
        <v>1.8E-3</v>
      </c>
      <c r="D537" s="6">
        <v>0</v>
      </c>
      <c r="E537" s="6">
        <v>5</v>
      </c>
      <c r="F537" s="6">
        <v>1</v>
      </c>
    </row>
    <row r="538" spans="1:6" x14ac:dyDescent="0.3">
      <c r="A538" s="5" t="s">
        <v>1391</v>
      </c>
      <c r="B538" s="6">
        <v>6483</v>
      </c>
      <c r="C538" s="6">
        <v>5.9231999999999996</v>
      </c>
      <c r="D538" s="6">
        <v>380</v>
      </c>
      <c r="E538" s="6">
        <v>4</v>
      </c>
      <c r="F538" s="6">
        <v>1</v>
      </c>
    </row>
    <row r="539" spans="1:6" x14ac:dyDescent="0.3">
      <c r="A539" s="5" t="s">
        <v>2108</v>
      </c>
      <c r="B539" s="6">
        <v>223034</v>
      </c>
      <c r="C539" s="6">
        <v>14.0059</v>
      </c>
      <c r="D539" s="6">
        <v>31000</v>
      </c>
      <c r="E539" s="6">
        <v>238</v>
      </c>
      <c r="F539" s="6">
        <v>1</v>
      </c>
    </row>
    <row r="540" spans="1:6" x14ac:dyDescent="0.3">
      <c r="A540" s="5" t="s">
        <v>2003</v>
      </c>
      <c r="B540" s="6">
        <v>237762</v>
      </c>
      <c r="C540" s="6">
        <v>5.0991999999999997</v>
      </c>
      <c r="D540" s="6">
        <v>12000</v>
      </c>
      <c r="E540" s="6">
        <v>124</v>
      </c>
      <c r="F540" s="6">
        <v>1</v>
      </c>
    </row>
    <row r="541" spans="1:6" x14ac:dyDescent="0.3">
      <c r="A541" s="5" t="s">
        <v>1077</v>
      </c>
      <c r="B541" s="6">
        <v>11074</v>
      </c>
      <c r="C541" s="6">
        <v>7.7930000000000001</v>
      </c>
      <c r="D541" s="6">
        <v>839</v>
      </c>
      <c r="E541" s="6">
        <v>24</v>
      </c>
      <c r="F541" s="6">
        <v>1</v>
      </c>
    </row>
    <row r="542" spans="1:6" x14ac:dyDescent="0.3">
      <c r="A542" s="5" t="s">
        <v>2693</v>
      </c>
      <c r="B542" s="6">
        <v>3945</v>
      </c>
      <c r="C542" s="6">
        <v>3.3207</v>
      </c>
      <c r="D542" s="6">
        <v>127</v>
      </c>
      <c r="E542" s="6">
        <v>4</v>
      </c>
      <c r="F542" s="6">
        <v>1</v>
      </c>
    </row>
    <row r="543" spans="1:6" x14ac:dyDescent="0.3">
      <c r="A543" s="5" t="s">
        <v>1540</v>
      </c>
      <c r="B543" s="6">
        <v>3367</v>
      </c>
      <c r="C543" s="6">
        <v>0.7722</v>
      </c>
      <c r="D543" s="6">
        <v>26</v>
      </c>
      <c r="E543" s="6">
        <v>0</v>
      </c>
      <c r="F543" s="6">
        <v>1</v>
      </c>
    </row>
    <row r="544" spans="1:6" x14ac:dyDescent="0.3">
      <c r="A544" s="5" t="s">
        <v>2361</v>
      </c>
      <c r="B544" s="6">
        <v>3024</v>
      </c>
      <c r="C544" s="6">
        <v>2.5463</v>
      </c>
      <c r="D544" s="6">
        <v>76</v>
      </c>
      <c r="E544" s="6">
        <v>1</v>
      </c>
      <c r="F544" s="6">
        <v>1</v>
      </c>
    </row>
    <row r="545" spans="1:6" x14ac:dyDescent="0.3">
      <c r="A545" s="5" t="s">
        <v>1199</v>
      </c>
      <c r="B545" s="6">
        <v>1132</v>
      </c>
      <c r="C545" s="6">
        <v>3.3569</v>
      </c>
      <c r="D545" s="6">
        <v>38</v>
      </c>
      <c r="E545" s="6">
        <v>0</v>
      </c>
      <c r="F545" s="6">
        <v>1</v>
      </c>
    </row>
    <row r="546" spans="1:6" x14ac:dyDescent="0.3">
      <c r="A546" s="5" t="s">
        <v>2112</v>
      </c>
      <c r="B546" s="6">
        <v>295475</v>
      </c>
      <c r="C546" s="6">
        <v>1.417</v>
      </c>
      <c r="D546" s="6">
        <v>4100</v>
      </c>
      <c r="E546" s="6">
        <v>87</v>
      </c>
      <c r="F546" s="6">
        <v>1</v>
      </c>
    </row>
    <row r="547" spans="1:6" x14ac:dyDescent="0.3">
      <c r="A547" s="5" t="s">
        <v>212</v>
      </c>
      <c r="B547" s="6">
        <v>1502</v>
      </c>
      <c r="C547" s="6">
        <v>4.6604999999999999</v>
      </c>
      <c r="D547" s="6">
        <v>68</v>
      </c>
      <c r="E547" s="6">
        <v>2</v>
      </c>
      <c r="F547" s="6">
        <v>1</v>
      </c>
    </row>
    <row r="548" spans="1:6" x14ac:dyDescent="0.3">
      <c r="A548" s="5" t="s">
        <v>1081</v>
      </c>
      <c r="B548" s="6">
        <v>40768</v>
      </c>
      <c r="C548" s="6">
        <v>0.53469999999999995</v>
      </c>
      <c r="D548" s="6">
        <v>216</v>
      </c>
      <c r="E548" s="6">
        <v>2</v>
      </c>
      <c r="F548" s="6">
        <v>1</v>
      </c>
    </row>
    <row r="549" spans="1:6" x14ac:dyDescent="0.3">
      <c r="A549" s="5" t="s">
        <v>1759</v>
      </c>
      <c r="B549" s="6">
        <v>264401</v>
      </c>
      <c r="C549" s="6">
        <v>2.9152999999999998</v>
      </c>
      <c r="D549" s="6">
        <v>7700</v>
      </c>
      <c r="E549" s="6">
        <v>8</v>
      </c>
      <c r="F549" s="6">
        <v>1</v>
      </c>
    </row>
    <row r="550" spans="1:6" x14ac:dyDescent="0.3">
      <c r="A550" s="5" t="s">
        <v>1525</v>
      </c>
      <c r="B550" s="6">
        <v>4127</v>
      </c>
      <c r="C550" s="6">
        <v>1.2842</v>
      </c>
      <c r="D550" s="6">
        <v>53</v>
      </c>
      <c r="E550" s="6">
        <v>0</v>
      </c>
      <c r="F550" s="6">
        <v>1</v>
      </c>
    </row>
    <row r="551" spans="1:6" x14ac:dyDescent="0.3">
      <c r="A551" s="5" t="s">
        <v>196</v>
      </c>
      <c r="B551" s="6">
        <v>503</v>
      </c>
      <c r="C551" s="6">
        <v>0.99399999999999999</v>
      </c>
      <c r="D551" s="6">
        <v>5</v>
      </c>
      <c r="E551" s="6">
        <v>0</v>
      </c>
      <c r="F551" s="6">
        <v>1</v>
      </c>
    </row>
    <row r="552" spans="1:6" x14ac:dyDescent="0.3">
      <c r="A552" s="5" t="s">
        <v>192</v>
      </c>
      <c r="B552" s="6">
        <v>502</v>
      </c>
      <c r="C552" s="6">
        <v>5.3784999999999998</v>
      </c>
      <c r="D552" s="6">
        <v>27</v>
      </c>
      <c r="E552" s="6">
        <v>0</v>
      </c>
      <c r="F552" s="6">
        <v>1</v>
      </c>
    </row>
    <row r="553" spans="1:6" x14ac:dyDescent="0.3">
      <c r="A553" s="5" t="s">
        <v>1021</v>
      </c>
      <c r="B553" s="6">
        <v>247169</v>
      </c>
      <c r="C553" s="6">
        <v>9.4741</v>
      </c>
      <c r="D553" s="6">
        <v>23000</v>
      </c>
      <c r="E553" s="6">
        <v>417</v>
      </c>
      <c r="F553" s="6">
        <v>1</v>
      </c>
    </row>
    <row r="554" spans="1:6" x14ac:dyDescent="0.3">
      <c r="A554" s="5" t="s">
        <v>1598</v>
      </c>
      <c r="B554" s="6">
        <v>768348</v>
      </c>
      <c r="C554" s="6">
        <v>1.6995</v>
      </c>
      <c r="D554" s="6">
        <v>13000</v>
      </c>
      <c r="E554" s="6">
        <v>58</v>
      </c>
      <c r="F554" s="6">
        <v>1</v>
      </c>
    </row>
    <row r="555" spans="1:6" x14ac:dyDescent="0.3">
      <c r="A555" s="5" t="s">
        <v>2948</v>
      </c>
      <c r="B555" s="6"/>
      <c r="C555" s="6"/>
      <c r="D555" s="6"/>
      <c r="E555" s="6"/>
      <c r="F555" s="6"/>
    </row>
    <row r="556" spans="1:6" x14ac:dyDescent="0.3">
      <c r="A556" s="5" t="s">
        <v>2949</v>
      </c>
      <c r="B556" s="6">
        <v>28187123.22778473</v>
      </c>
      <c r="C556" s="6">
        <v>18.811900000000001</v>
      </c>
      <c r="D556" s="6">
        <v>297990.80976220273</v>
      </c>
      <c r="E556" s="6">
        <v>2295.6520650813518</v>
      </c>
      <c r="F556" s="6">
        <v>404.06257822277848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7F1373-C756-40D9-B51E-697BDA1D1645}">
  <dimension ref="A1:K800"/>
  <sheetViews>
    <sheetView topLeftCell="C1" workbookViewId="0">
      <selection activeCell="B15" sqref="B15"/>
    </sheetView>
  </sheetViews>
  <sheetFormatPr defaultRowHeight="14.4" x14ac:dyDescent="0.3"/>
  <cols>
    <col min="1" max="1" width="15.33203125" style="1" bestFit="1" customWidth="1"/>
    <col min="2" max="2" width="90.109375" style="1" customWidth="1"/>
    <col min="3" max="3" width="46.77734375" style="1" bestFit="1" customWidth="1"/>
    <col min="4" max="4" width="11" style="1" bestFit="1" customWidth="1"/>
    <col min="5" max="5" width="9" style="1" bestFit="1" customWidth="1"/>
    <col min="6" max="6" width="9.77734375" style="1" bestFit="1" customWidth="1"/>
    <col min="7" max="7" width="10.88671875" style="1" bestFit="1" customWidth="1"/>
    <col min="8" max="8" width="17.88671875" style="1" bestFit="1" customWidth="1"/>
    <col min="9" max="9" width="13.21875" style="1" bestFit="1" customWidth="1"/>
    <col min="10" max="10" width="73.77734375" style="1" bestFit="1" customWidth="1"/>
    <col min="11" max="16384" width="8.88671875" style="1"/>
  </cols>
  <sheetData>
    <row r="1" spans="1:11" s="3" customForma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 x14ac:dyDescent="0.3">
      <c r="A2" s="1" t="s">
        <v>11</v>
      </c>
      <c r="B2" s="1" t="s">
        <v>12</v>
      </c>
      <c r="C2" s="1" t="s">
        <v>13</v>
      </c>
      <c r="D2" s="1">
        <v>23945</v>
      </c>
      <c r="E2" s="1">
        <v>862</v>
      </c>
      <c r="F2" s="1">
        <v>120</v>
      </c>
      <c r="G2" s="1">
        <v>201</v>
      </c>
      <c r="H2" s="1">
        <v>4.1010999999999997</v>
      </c>
      <c r="I2" s="1">
        <v>119.13</v>
      </c>
      <c r="J2" s="1" t="s">
        <v>14</v>
      </c>
      <c r="K2" s="1">
        <v>4546</v>
      </c>
    </row>
    <row r="3" spans="1:11" x14ac:dyDescent="0.3">
      <c r="A3" s="1" t="s">
        <v>15</v>
      </c>
      <c r="B3" s="1" t="s">
        <v>16</v>
      </c>
      <c r="C3" s="1" t="s">
        <v>17</v>
      </c>
      <c r="D3" s="1">
        <v>16456884</v>
      </c>
      <c r="E3" s="1">
        <v>129000</v>
      </c>
      <c r="F3" s="1">
        <v>4863</v>
      </c>
      <c r="G3" s="1">
        <v>342</v>
      </c>
      <c r="H3" s="1">
        <v>0.81340000000000001</v>
      </c>
      <c r="I3" s="1">
        <v>48119.54</v>
      </c>
      <c r="J3" s="1" t="s">
        <v>18</v>
      </c>
      <c r="K3" s="1">
        <v>217</v>
      </c>
    </row>
    <row r="4" spans="1:11" x14ac:dyDescent="0.3">
      <c r="A4" s="1" t="s">
        <v>19</v>
      </c>
      <c r="B4" s="1" t="s">
        <v>20</v>
      </c>
      <c r="C4" s="1" t="s">
        <v>21</v>
      </c>
      <c r="D4" s="1">
        <v>326589</v>
      </c>
      <c r="E4" s="1">
        <v>10000</v>
      </c>
      <c r="F4" s="1">
        <v>938</v>
      </c>
      <c r="G4" s="1">
        <v>270</v>
      </c>
      <c r="H4" s="1">
        <v>3.3492000000000002</v>
      </c>
      <c r="I4" s="1">
        <v>1209.5899999999999</v>
      </c>
      <c r="J4" s="1" t="s">
        <v>22</v>
      </c>
      <c r="K4" s="1">
        <v>1505</v>
      </c>
    </row>
    <row r="5" spans="1:11" x14ac:dyDescent="0.3">
      <c r="A5" s="1" t="s">
        <v>23</v>
      </c>
      <c r="B5" s="1" t="s">
        <v>24</v>
      </c>
      <c r="C5" s="1" t="s">
        <v>25</v>
      </c>
      <c r="D5" s="1">
        <v>1778131</v>
      </c>
      <c r="E5" s="1">
        <v>25000</v>
      </c>
      <c r="F5" s="1">
        <v>2261</v>
      </c>
      <c r="G5" s="1">
        <v>989</v>
      </c>
      <c r="H5" s="1">
        <v>1.5330999999999999</v>
      </c>
      <c r="I5" s="1">
        <v>1797.91</v>
      </c>
      <c r="J5" s="1" t="s">
        <v>26</v>
      </c>
      <c r="K5" s="1">
        <v>1001</v>
      </c>
    </row>
    <row r="6" spans="1:11" x14ac:dyDescent="0.3">
      <c r="A6" s="1" t="s">
        <v>27</v>
      </c>
      <c r="B6" s="1" t="s">
        <v>28</v>
      </c>
      <c r="C6" s="1" t="s">
        <v>29</v>
      </c>
      <c r="D6" s="1">
        <v>1307628</v>
      </c>
      <c r="E6" s="1">
        <v>7500</v>
      </c>
      <c r="F6" s="1">
        <v>443</v>
      </c>
      <c r="G6" s="1">
        <v>85</v>
      </c>
      <c r="H6" s="1">
        <v>0.60740000000000005</v>
      </c>
      <c r="I6" s="1">
        <v>15383.86</v>
      </c>
      <c r="J6" s="1" t="s">
        <v>30</v>
      </c>
      <c r="K6" s="1">
        <v>1253</v>
      </c>
    </row>
    <row r="7" spans="1:11" x14ac:dyDescent="0.3">
      <c r="A7" s="1" t="s">
        <v>31</v>
      </c>
      <c r="B7" s="1" t="s">
        <v>32</v>
      </c>
      <c r="C7" s="1" t="s">
        <v>33</v>
      </c>
      <c r="D7" s="1">
        <v>32747</v>
      </c>
      <c r="E7" s="1">
        <v>1700</v>
      </c>
      <c r="F7" s="1">
        <v>254</v>
      </c>
      <c r="G7" s="1">
        <v>30</v>
      </c>
      <c r="H7" s="1">
        <v>5.9669999999999996</v>
      </c>
      <c r="I7" s="1">
        <v>1091.57</v>
      </c>
      <c r="J7" s="1" t="s">
        <v>34</v>
      </c>
      <c r="K7" s="1">
        <v>697</v>
      </c>
    </row>
    <row r="8" spans="1:11" x14ac:dyDescent="0.3">
      <c r="A8" s="1" t="s">
        <v>35</v>
      </c>
      <c r="B8" s="1" t="s">
        <v>36</v>
      </c>
      <c r="C8" s="1" t="s">
        <v>37</v>
      </c>
      <c r="D8" s="1">
        <v>2567471</v>
      </c>
      <c r="E8" s="1">
        <v>17000</v>
      </c>
      <c r="F8" s="1">
        <v>3176</v>
      </c>
      <c r="G8" s="1">
        <v>349</v>
      </c>
      <c r="H8" s="1">
        <v>0.78580000000000005</v>
      </c>
      <c r="I8" s="1">
        <v>7356.65</v>
      </c>
      <c r="J8" s="1" t="s">
        <v>38</v>
      </c>
      <c r="K8" s="1">
        <v>581</v>
      </c>
    </row>
    <row r="9" spans="1:11" x14ac:dyDescent="0.3">
      <c r="A9" s="1" t="s">
        <v>39</v>
      </c>
      <c r="B9" s="1" t="s">
        <v>40</v>
      </c>
      <c r="C9" s="1" t="s">
        <v>41</v>
      </c>
      <c r="D9" s="1">
        <v>1535610</v>
      </c>
      <c r="E9" s="1">
        <v>26000</v>
      </c>
      <c r="F9" s="1">
        <v>1996</v>
      </c>
      <c r="G9" s="1">
        <v>243</v>
      </c>
      <c r="H9" s="1">
        <v>1.8230999999999999</v>
      </c>
      <c r="I9" s="1">
        <v>6319.38</v>
      </c>
      <c r="J9" s="1" t="s">
        <v>42</v>
      </c>
      <c r="K9" s="1">
        <v>1300</v>
      </c>
    </row>
    <row r="10" spans="1:11" x14ac:dyDescent="0.3">
      <c r="A10" s="1" t="s">
        <v>43</v>
      </c>
      <c r="B10" s="1" t="s">
        <v>44</v>
      </c>
      <c r="C10" s="1" t="s">
        <v>45</v>
      </c>
      <c r="D10" s="1">
        <v>1224806</v>
      </c>
      <c r="E10" s="1">
        <v>4700</v>
      </c>
      <c r="F10" s="1">
        <v>335</v>
      </c>
      <c r="G10" s="1">
        <v>188</v>
      </c>
      <c r="H10" s="1">
        <v>0.41110000000000002</v>
      </c>
      <c r="I10" s="1">
        <v>6514.93</v>
      </c>
      <c r="J10" s="1" t="s">
        <v>46</v>
      </c>
      <c r="K10" s="1">
        <v>0</v>
      </c>
    </row>
    <row r="11" spans="1:11" x14ac:dyDescent="0.3">
      <c r="A11" s="1" t="s">
        <v>47</v>
      </c>
      <c r="B11" s="1" t="s">
        <v>48</v>
      </c>
      <c r="C11" s="1" t="s">
        <v>29</v>
      </c>
      <c r="D11" s="1">
        <v>1924221</v>
      </c>
      <c r="E11" s="1">
        <v>17000</v>
      </c>
      <c r="F11" s="1">
        <v>534</v>
      </c>
      <c r="G11" s="1">
        <v>32</v>
      </c>
      <c r="H11" s="1">
        <v>0.91120000000000001</v>
      </c>
      <c r="I11" s="1">
        <v>60131.91</v>
      </c>
      <c r="J11" s="1" t="s">
        <v>49</v>
      </c>
      <c r="K11" s="1">
        <v>1259</v>
      </c>
    </row>
    <row r="12" spans="1:11" x14ac:dyDescent="0.3">
      <c r="A12" s="1" t="s">
        <v>50</v>
      </c>
      <c r="B12" s="1" t="s">
        <v>51</v>
      </c>
      <c r="C12" s="1" t="s">
        <v>52</v>
      </c>
      <c r="D12" s="1">
        <v>5144611</v>
      </c>
      <c r="E12" s="1">
        <v>97000</v>
      </c>
      <c r="F12" s="1">
        <v>9004</v>
      </c>
      <c r="G12" s="1">
        <v>2</v>
      </c>
      <c r="H12" s="1">
        <v>2.0605000000000002</v>
      </c>
      <c r="I12" s="1">
        <v>2572305.5</v>
      </c>
      <c r="J12" s="1" t="s">
        <v>53</v>
      </c>
      <c r="K12" s="1">
        <v>241</v>
      </c>
    </row>
    <row r="13" spans="1:11" x14ac:dyDescent="0.3">
      <c r="A13" s="1" t="s">
        <v>54</v>
      </c>
      <c r="B13" s="1" t="s">
        <v>55</v>
      </c>
      <c r="C13" s="1" t="s">
        <v>29</v>
      </c>
      <c r="D13" s="1">
        <v>2089531</v>
      </c>
      <c r="E13" s="1">
        <v>13000</v>
      </c>
      <c r="F13" s="1">
        <v>625</v>
      </c>
      <c r="G13" s="1">
        <v>88</v>
      </c>
      <c r="H13" s="1">
        <v>0.65210000000000001</v>
      </c>
      <c r="I13" s="1">
        <v>23744.67</v>
      </c>
      <c r="J13" s="1" t="s">
        <v>56</v>
      </c>
      <c r="K13" s="1">
        <v>1255</v>
      </c>
    </row>
    <row r="14" spans="1:11" x14ac:dyDescent="0.3">
      <c r="A14" s="1" t="s">
        <v>57</v>
      </c>
      <c r="B14" s="1" t="s">
        <v>58</v>
      </c>
      <c r="C14" s="1" t="s">
        <v>33</v>
      </c>
      <c r="D14" s="1">
        <v>663739</v>
      </c>
      <c r="E14" s="1">
        <v>35000</v>
      </c>
      <c r="F14" s="1">
        <v>4417</v>
      </c>
      <c r="G14" s="1">
        <v>140</v>
      </c>
      <c r="H14" s="1">
        <v>5.9386000000000001</v>
      </c>
      <c r="I14" s="1">
        <v>4740.99</v>
      </c>
      <c r="J14" s="1" t="s">
        <v>59</v>
      </c>
      <c r="K14" s="1">
        <v>778</v>
      </c>
    </row>
    <row r="15" spans="1:11" x14ac:dyDescent="0.3">
      <c r="A15" s="1" t="s">
        <v>60</v>
      </c>
      <c r="B15" s="1" t="s">
        <v>61</v>
      </c>
      <c r="C15" s="1" t="s">
        <v>62</v>
      </c>
      <c r="D15" s="1">
        <v>216511</v>
      </c>
      <c r="E15" s="1">
        <v>7900</v>
      </c>
      <c r="F15" s="1">
        <v>548</v>
      </c>
      <c r="G15" s="1">
        <v>127</v>
      </c>
      <c r="H15" s="1">
        <v>3.9018999999999999</v>
      </c>
      <c r="I15" s="1">
        <v>1704.81</v>
      </c>
      <c r="J15" s="1" t="s">
        <v>63</v>
      </c>
      <c r="K15" s="1">
        <v>551</v>
      </c>
    </row>
    <row r="16" spans="1:11" x14ac:dyDescent="0.3">
      <c r="A16" s="1" t="s">
        <v>64</v>
      </c>
      <c r="B16" s="1" t="s">
        <v>65</v>
      </c>
      <c r="C16" s="1" t="s">
        <v>66</v>
      </c>
      <c r="D16" s="1">
        <v>2222583</v>
      </c>
      <c r="E16" s="1">
        <v>107000</v>
      </c>
      <c r="F16" s="1">
        <v>9785</v>
      </c>
      <c r="G16" s="1">
        <v>638</v>
      </c>
      <c r="H16" s="1">
        <v>5.2545000000000002</v>
      </c>
      <c r="I16" s="1">
        <v>3483.67</v>
      </c>
      <c r="J16" s="1" t="s">
        <v>67</v>
      </c>
      <c r="K16" s="1">
        <v>449</v>
      </c>
    </row>
    <row r="17" spans="1:11" x14ac:dyDescent="0.3">
      <c r="A17" s="1" t="s">
        <v>68</v>
      </c>
      <c r="B17" s="1" t="s">
        <v>69</v>
      </c>
      <c r="C17" s="1" t="s">
        <v>70</v>
      </c>
      <c r="D17" s="1">
        <v>120121</v>
      </c>
      <c r="E17" s="1">
        <v>4700</v>
      </c>
      <c r="F17" s="1">
        <v>486</v>
      </c>
      <c r="G17" s="1">
        <v>388</v>
      </c>
      <c r="H17" s="1">
        <v>4.3173000000000004</v>
      </c>
      <c r="I17" s="1">
        <v>309.58999999999997</v>
      </c>
      <c r="J17" s="1" t="s">
        <v>71</v>
      </c>
      <c r="K17" s="1">
        <v>555</v>
      </c>
    </row>
    <row r="18" spans="1:11" x14ac:dyDescent="0.3">
      <c r="A18" s="1" t="s">
        <v>72</v>
      </c>
      <c r="B18" s="1" t="s">
        <v>73</v>
      </c>
      <c r="C18" s="1" t="s">
        <v>74</v>
      </c>
      <c r="D18" s="1">
        <v>31313039</v>
      </c>
      <c r="E18" s="1">
        <v>264000</v>
      </c>
      <c r="F18" s="1">
        <v>210</v>
      </c>
      <c r="G18" s="1">
        <v>585</v>
      </c>
      <c r="H18" s="1">
        <v>0.84379999999999999</v>
      </c>
      <c r="I18" s="1">
        <v>53526.559999999998</v>
      </c>
      <c r="J18" s="1" t="s">
        <v>75</v>
      </c>
      <c r="K18" s="1">
        <v>0</v>
      </c>
    </row>
    <row r="19" spans="1:11" x14ac:dyDescent="0.3">
      <c r="A19" s="1" t="s">
        <v>76</v>
      </c>
      <c r="B19" s="1" t="s">
        <v>77</v>
      </c>
      <c r="C19" s="1" t="s">
        <v>78</v>
      </c>
      <c r="D19" s="1">
        <v>28277306</v>
      </c>
      <c r="E19" s="1">
        <v>1800000</v>
      </c>
      <c r="F19" s="1">
        <v>10508</v>
      </c>
      <c r="G19" s="1">
        <v>1214</v>
      </c>
      <c r="H19" s="1">
        <v>6.4027000000000003</v>
      </c>
      <c r="I19" s="1">
        <v>23292.67</v>
      </c>
      <c r="J19" s="1" t="s">
        <v>79</v>
      </c>
      <c r="K19" s="1">
        <v>0</v>
      </c>
    </row>
    <row r="20" spans="1:11" x14ac:dyDescent="0.3">
      <c r="A20" s="1" t="s">
        <v>80</v>
      </c>
      <c r="B20" s="1" t="s">
        <v>81</v>
      </c>
      <c r="C20" s="1" t="s">
        <v>82</v>
      </c>
      <c r="D20" s="1">
        <v>699633</v>
      </c>
      <c r="E20" s="1">
        <v>7900</v>
      </c>
      <c r="F20" s="1">
        <v>1114</v>
      </c>
      <c r="G20" s="1">
        <v>2</v>
      </c>
      <c r="H20" s="1">
        <v>1.2884</v>
      </c>
      <c r="I20" s="1">
        <v>349816.5</v>
      </c>
      <c r="J20" s="1" t="s">
        <v>83</v>
      </c>
      <c r="K20" s="1">
        <v>0</v>
      </c>
    </row>
    <row r="21" spans="1:11" x14ac:dyDescent="0.3">
      <c r="A21" s="1" t="s">
        <v>84</v>
      </c>
      <c r="B21" s="1" t="s">
        <v>85</v>
      </c>
      <c r="C21" s="1" t="s">
        <v>86</v>
      </c>
      <c r="D21" s="1">
        <v>20901861</v>
      </c>
      <c r="E21" s="1">
        <v>227000</v>
      </c>
      <c r="F21" s="1">
        <v>312</v>
      </c>
      <c r="G21" s="1">
        <v>284</v>
      </c>
      <c r="H21" s="1">
        <v>1.0874999999999999</v>
      </c>
      <c r="I21" s="1">
        <v>73598.100000000006</v>
      </c>
      <c r="J21" s="1" t="s">
        <v>87</v>
      </c>
      <c r="K21" s="1">
        <v>0</v>
      </c>
    </row>
    <row r="22" spans="1:11" x14ac:dyDescent="0.3">
      <c r="A22" s="1" t="s">
        <v>88</v>
      </c>
      <c r="B22" s="1" t="s">
        <v>89</v>
      </c>
      <c r="C22" s="1" t="s">
        <v>90</v>
      </c>
      <c r="D22" s="1">
        <v>1735956</v>
      </c>
      <c r="E22" s="1">
        <v>45000</v>
      </c>
      <c r="F22" s="1">
        <v>10732</v>
      </c>
      <c r="G22" s="1">
        <v>352</v>
      </c>
      <c r="H22" s="1">
        <v>3.2105000000000001</v>
      </c>
      <c r="I22" s="1">
        <v>4931.6899999999996</v>
      </c>
      <c r="J22" s="1" t="s">
        <v>91</v>
      </c>
      <c r="K22" s="1">
        <v>15</v>
      </c>
    </row>
    <row r="23" spans="1:11" x14ac:dyDescent="0.3">
      <c r="A23" s="1" t="s">
        <v>92</v>
      </c>
      <c r="B23" s="1" t="s">
        <v>93</v>
      </c>
      <c r="C23" s="1" t="s">
        <v>94</v>
      </c>
      <c r="D23" s="1">
        <v>52139</v>
      </c>
      <c r="E23" s="1">
        <v>2400</v>
      </c>
      <c r="F23" s="1">
        <v>232</v>
      </c>
      <c r="G23" s="1">
        <v>41</v>
      </c>
      <c r="H23" s="1">
        <v>5.048</v>
      </c>
      <c r="I23" s="1">
        <v>1271.68</v>
      </c>
      <c r="J23" s="1" t="s">
        <v>95</v>
      </c>
      <c r="K23" s="1">
        <v>1687</v>
      </c>
    </row>
    <row r="24" spans="1:11" x14ac:dyDescent="0.3">
      <c r="A24" s="1" t="s">
        <v>96</v>
      </c>
      <c r="B24" s="1" t="s">
        <v>97</v>
      </c>
      <c r="C24" s="1" t="s">
        <v>98</v>
      </c>
      <c r="D24" s="1">
        <v>88608345</v>
      </c>
      <c r="E24" s="1">
        <v>0</v>
      </c>
      <c r="F24" s="1">
        <v>10524</v>
      </c>
      <c r="G24" s="1">
        <v>1289</v>
      </c>
      <c r="H24" s="1">
        <v>1.1900000000000001E-2</v>
      </c>
      <c r="I24" s="1">
        <v>68741.929999999993</v>
      </c>
      <c r="J24" s="1" t="s">
        <v>99</v>
      </c>
      <c r="K24" s="1">
        <v>0</v>
      </c>
    </row>
    <row r="25" spans="1:11" x14ac:dyDescent="0.3">
      <c r="A25" s="1" t="s">
        <v>100</v>
      </c>
      <c r="B25" s="1" t="s">
        <v>101</v>
      </c>
      <c r="C25" s="1" t="s">
        <v>102</v>
      </c>
      <c r="D25" s="1">
        <v>25894749</v>
      </c>
      <c r="E25" s="1">
        <v>629000</v>
      </c>
      <c r="F25" s="1">
        <v>6669</v>
      </c>
      <c r="G25" s="1">
        <v>252</v>
      </c>
      <c r="H25" s="1">
        <v>2.4548000000000001</v>
      </c>
      <c r="I25" s="1">
        <v>102756.94</v>
      </c>
      <c r="J25" s="1" t="s">
        <v>103</v>
      </c>
      <c r="K25" s="1">
        <v>0</v>
      </c>
    </row>
    <row r="26" spans="1:11" x14ac:dyDescent="0.3">
      <c r="A26" s="1" t="s">
        <v>104</v>
      </c>
      <c r="B26" s="1" t="s">
        <v>105</v>
      </c>
      <c r="C26" s="1" t="s">
        <v>106</v>
      </c>
      <c r="D26" s="1">
        <v>41669466</v>
      </c>
      <c r="E26" s="1">
        <v>333000</v>
      </c>
      <c r="F26" s="1">
        <v>789</v>
      </c>
      <c r="G26" s="1">
        <v>533</v>
      </c>
      <c r="H26" s="1">
        <v>0.80100000000000005</v>
      </c>
      <c r="I26" s="1">
        <v>78179.11</v>
      </c>
      <c r="J26" s="1" t="s">
        <v>107</v>
      </c>
      <c r="K26" s="1">
        <v>16</v>
      </c>
    </row>
    <row r="27" spans="1:11" x14ac:dyDescent="0.3">
      <c r="A27" s="1" t="s">
        <v>108</v>
      </c>
      <c r="B27" s="1" t="s">
        <v>109</v>
      </c>
      <c r="C27" s="1" t="s">
        <v>110</v>
      </c>
      <c r="D27" s="1">
        <v>42271640</v>
      </c>
      <c r="E27" s="1">
        <v>548000</v>
      </c>
      <c r="F27" s="1">
        <v>1099</v>
      </c>
      <c r="G27" s="1">
        <v>1608</v>
      </c>
      <c r="H27" s="1">
        <v>1.2989999999999999</v>
      </c>
      <c r="I27" s="1">
        <v>26288.33</v>
      </c>
      <c r="J27" s="1" t="s">
        <v>111</v>
      </c>
      <c r="K27" s="1">
        <v>0</v>
      </c>
    </row>
    <row r="28" spans="1:11" x14ac:dyDescent="0.3">
      <c r="A28" s="1" t="s">
        <v>112</v>
      </c>
      <c r="B28" s="1" t="s">
        <v>113</v>
      </c>
      <c r="C28" s="1" t="s">
        <v>114</v>
      </c>
      <c r="D28" s="1">
        <v>198654177</v>
      </c>
      <c r="E28" s="1">
        <v>4500000</v>
      </c>
      <c r="F28" s="1">
        <v>35801</v>
      </c>
      <c r="G28" s="1">
        <v>1016</v>
      </c>
      <c r="H28" s="1">
        <v>2.2833000000000001</v>
      </c>
      <c r="I28" s="1">
        <v>195525.76000000001</v>
      </c>
      <c r="J28" s="1" t="s">
        <v>115</v>
      </c>
      <c r="K28" s="1">
        <v>437</v>
      </c>
    </row>
    <row r="29" spans="1:11" x14ac:dyDescent="0.3">
      <c r="A29" s="1" t="s">
        <v>116</v>
      </c>
      <c r="B29" s="1" t="s">
        <v>117</v>
      </c>
      <c r="C29" s="1" t="s">
        <v>118</v>
      </c>
      <c r="D29" s="1">
        <v>22963928</v>
      </c>
      <c r="E29" s="1">
        <v>280000</v>
      </c>
      <c r="F29" s="1">
        <v>583</v>
      </c>
      <c r="G29" s="1">
        <v>228</v>
      </c>
      <c r="H29" s="1">
        <v>1.2218</v>
      </c>
      <c r="I29" s="1">
        <v>100718.98</v>
      </c>
      <c r="J29" s="1" t="s">
        <v>119</v>
      </c>
      <c r="K29" s="1">
        <v>0</v>
      </c>
    </row>
    <row r="30" spans="1:11" x14ac:dyDescent="0.3">
      <c r="A30" s="1" t="s">
        <v>120</v>
      </c>
      <c r="B30" s="1" t="s">
        <v>121</v>
      </c>
      <c r="C30" s="1" t="s">
        <v>122</v>
      </c>
      <c r="D30" s="1">
        <v>5083618</v>
      </c>
      <c r="E30" s="1">
        <v>84000</v>
      </c>
      <c r="F30" s="1">
        <v>367</v>
      </c>
      <c r="G30" s="1">
        <v>204</v>
      </c>
      <c r="H30" s="1">
        <v>1.6596</v>
      </c>
      <c r="I30" s="1">
        <v>24919.7</v>
      </c>
      <c r="J30" s="1" t="s">
        <v>123</v>
      </c>
      <c r="K30" s="1">
        <v>0</v>
      </c>
    </row>
    <row r="31" spans="1:11" x14ac:dyDescent="0.3">
      <c r="A31" s="1" t="s">
        <v>124</v>
      </c>
      <c r="B31" s="1" t="s">
        <v>125</v>
      </c>
      <c r="C31" s="1" t="s">
        <v>126</v>
      </c>
      <c r="D31" s="1">
        <v>8243576</v>
      </c>
      <c r="E31" s="1">
        <v>116000</v>
      </c>
      <c r="F31" s="1">
        <v>11897</v>
      </c>
      <c r="G31" s="1">
        <v>189</v>
      </c>
      <c r="H31" s="1">
        <v>1.5515000000000001</v>
      </c>
      <c r="I31" s="1">
        <v>43616.800000000003</v>
      </c>
      <c r="J31" s="1" t="s">
        <v>127</v>
      </c>
      <c r="K31" s="1">
        <v>0</v>
      </c>
    </row>
    <row r="32" spans="1:11" x14ac:dyDescent="0.3">
      <c r="A32" s="1" t="s">
        <v>128</v>
      </c>
      <c r="B32" s="1" t="s">
        <v>129</v>
      </c>
      <c r="C32" s="1" t="s">
        <v>130</v>
      </c>
      <c r="D32" s="1">
        <v>4203923</v>
      </c>
      <c r="E32" s="1">
        <v>99000</v>
      </c>
      <c r="F32" s="1">
        <v>1066</v>
      </c>
      <c r="G32" s="1">
        <v>194</v>
      </c>
      <c r="H32" s="1">
        <v>2.3803000000000001</v>
      </c>
      <c r="I32" s="1">
        <v>21669.71</v>
      </c>
      <c r="J32" s="1" t="s">
        <v>131</v>
      </c>
      <c r="K32" s="1">
        <v>0</v>
      </c>
    </row>
    <row r="33" spans="1:11" x14ac:dyDescent="0.3">
      <c r="A33" s="1" t="s">
        <v>132</v>
      </c>
      <c r="B33" s="1" t="s">
        <v>133</v>
      </c>
      <c r="C33" s="1" t="s">
        <v>134</v>
      </c>
      <c r="D33" s="1">
        <v>1047438</v>
      </c>
      <c r="E33" s="1">
        <v>7500</v>
      </c>
      <c r="F33" s="1">
        <v>211</v>
      </c>
      <c r="G33" s="1">
        <v>3</v>
      </c>
      <c r="H33" s="1">
        <v>0.73619999999999997</v>
      </c>
      <c r="I33" s="1">
        <v>349146</v>
      </c>
      <c r="J33" s="1" t="s">
        <v>135</v>
      </c>
      <c r="K33" s="1">
        <v>0</v>
      </c>
    </row>
    <row r="34" spans="1:11" x14ac:dyDescent="0.3">
      <c r="A34" s="1" t="s">
        <v>136</v>
      </c>
      <c r="B34" s="1" t="s">
        <v>137</v>
      </c>
      <c r="C34" s="1" t="s">
        <v>138</v>
      </c>
      <c r="D34" s="1">
        <v>190515002</v>
      </c>
      <c r="E34" s="1">
        <v>1600000</v>
      </c>
      <c r="F34" s="1">
        <v>9872</v>
      </c>
      <c r="G34" s="1">
        <v>1318</v>
      </c>
      <c r="H34" s="1">
        <v>0.84499999999999997</v>
      </c>
      <c r="I34" s="1">
        <v>144548.56</v>
      </c>
      <c r="J34" s="1" t="s">
        <v>139</v>
      </c>
      <c r="K34" s="1">
        <v>0</v>
      </c>
    </row>
    <row r="35" spans="1:11" x14ac:dyDescent="0.3">
      <c r="A35" s="1" t="s">
        <v>140</v>
      </c>
      <c r="B35" s="1" t="s">
        <v>141</v>
      </c>
      <c r="C35" s="1" t="s">
        <v>142</v>
      </c>
      <c r="D35" s="1">
        <v>141796</v>
      </c>
      <c r="E35" s="1">
        <v>2200</v>
      </c>
      <c r="F35" s="1">
        <v>34</v>
      </c>
      <c r="G35" s="1">
        <v>3</v>
      </c>
      <c r="H35" s="1">
        <v>1.5754999999999999</v>
      </c>
      <c r="I35" s="1">
        <v>47265.33</v>
      </c>
      <c r="J35" s="1" t="s">
        <v>143</v>
      </c>
      <c r="K35" s="1">
        <v>130</v>
      </c>
    </row>
    <row r="36" spans="1:11" x14ac:dyDescent="0.3">
      <c r="A36" s="1" t="s">
        <v>144</v>
      </c>
      <c r="B36" s="1" t="s">
        <v>145</v>
      </c>
      <c r="C36" s="1" t="s">
        <v>146</v>
      </c>
      <c r="D36" s="1">
        <v>25967020</v>
      </c>
      <c r="E36" s="1">
        <v>171000</v>
      </c>
      <c r="F36" s="1">
        <v>0</v>
      </c>
      <c r="G36" s="1">
        <v>509</v>
      </c>
      <c r="H36" s="1">
        <v>0.65849999999999997</v>
      </c>
      <c r="I36" s="1">
        <v>51015.76</v>
      </c>
      <c r="J36" s="1" t="s">
        <v>147</v>
      </c>
      <c r="K36" s="1">
        <v>0</v>
      </c>
    </row>
    <row r="37" spans="1:11" x14ac:dyDescent="0.3">
      <c r="A37" s="1" t="s">
        <v>148</v>
      </c>
      <c r="B37" s="1" t="s">
        <v>149</v>
      </c>
      <c r="C37" s="1" t="s">
        <v>150</v>
      </c>
      <c r="D37" s="1">
        <v>7842230</v>
      </c>
      <c r="E37" s="1">
        <v>116000</v>
      </c>
      <c r="F37" s="1">
        <v>941</v>
      </c>
      <c r="G37" s="1">
        <v>635</v>
      </c>
      <c r="H37" s="1">
        <v>1.4912000000000001</v>
      </c>
      <c r="I37" s="1">
        <v>12349.97</v>
      </c>
      <c r="J37" s="1" t="s">
        <v>151</v>
      </c>
      <c r="K37" s="1">
        <v>0</v>
      </c>
    </row>
    <row r="38" spans="1:11" x14ac:dyDescent="0.3">
      <c r="A38" s="1" t="s">
        <v>152</v>
      </c>
      <c r="B38" s="1" t="s">
        <v>153</v>
      </c>
      <c r="C38" s="1" t="s">
        <v>154</v>
      </c>
      <c r="D38" s="1">
        <v>69879126</v>
      </c>
      <c r="E38" s="1">
        <v>529000</v>
      </c>
      <c r="F38" s="1">
        <v>1417</v>
      </c>
      <c r="G38" s="1">
        <v>1637</v>
      </c>
      <c r="H38" s="1">
        <v>0.75900000000000001</v>
      </c>
      <c r="I38" s="1">
        <v>42687.31</v>
      </c>
      <c r="J38" s="1" t="s">
        <v>155</v>
      </c>
      <c r="K38" s="1">
        <v>14</v>
      </c>
    </row>
    <row r="39" spans="1:11" x14ac:dyDescent="0.3">
      <c r="A39" s="1" t="s">
        <v>156</v>
      </c>
      <c r="B39" s="1" t="s">
        <v>157</v>
      </c>
      <c r="C39" s="1" t="s">
        <v>126</v>
      </c>
      <c r="D39" s="1">
        <v>18884172</v>
      </c>
      <c r="E39" s="1">
        <v>122000</v>
      </c>
      <c r="F39" s="1">
        <v>802</v>
      </c>
      <c r="G39" s="1">
        <v>299</v>
      </c>
      <c r="H39" s="1">
        <v>0.65029999999999999</v>
      </c>
      <c r="I39" s="1">
        <v>63157.77</v>
      </c>
      <c r="J39" s="1" t="s">
        <v>158</v>
      </c>
      <c r="K39" s="1">
        <v>0</v>
      </c>
    </row>
    <row r="40" spans="1:11" x14ac:dyDescent="0.3">
      <c r="A40" s="1" t="s">
        <v>159</v>
      </c>
      <c r="B40" s="1" t="s">
        <v>160</v>
      </c>
      <c r="C40" s="1" t="s">
        <v>161</v>
      </c>
      <c r="D40" s="1">
        <v>106975443</v>
      </c>
      <c r="E40" s="1">
        <v>1700000</v>
      </c>
      <c r="F40" s="1">
        <v>5945</v>
      </c>
      <c r="G40" s="1">
        <v>1012</v>
      </c>
      <c r="H40" s="1">
        <v>1.5947</v>
      </c>
      <c r="I40" s="1">
        <v>105706.96</v>
      </c>
      <c r="J40" s="1" t="s">
        <v>162</v>
      </c>
      <c r="K40" s="1">
        <v>0</v>
      </c>
    </row>
    <row r="41" spans="1:11" x14ac:dyDescent="0.3">
      <c r="A41" s="1" t="s">
        <v>163</v>
      </c>
      <c r="B41" s="1" t="s">
        <v>164</v>
      </c>
      <c r="C41" s="1" t="s">
        <v>165</v>
      </c>
      <c r="D41" s="1">
        <v>64356392</v>
      </c>
      <c r="E41" s="1">
        <v>886000</v>
      </c>
      <c r="F41" s="1">
        <v>2050</v>
      </c>
      <c r="G41" s="1">
        <v>175</v>
      </c>
      <c r="H41" s="1">
        <v>1.3798999999999999</v>
      </c>
      <c r="I41" s="1">
        <v>367750.81</v>
      </c>
      <c r="J41" s="1" t="s">
        <v>166</v>
      </c>
      <c r="K41" s="1">
        <v>86</v>
      </c>
    </row>
    <row r="42" spans="1:11" x14ac:dyDescent="0.3">
      <c r="A42" s="1" t="s">
        <v>167</v>
      </c>
      <c r="B42" s="1" t="s">
        <v>168</v>
      </c>
      <c r="C42" s="1" t="s">
        <v>169</v>
      </c>
      <c r="D42" s="1">
        <v>5046698</v>
      </c>
      <c r="E42" s="1">
        <v>65000</v>
      </c>
      <c r="F42" s="1">
        <v>5117</v>
      </c>
      <c r="G42" s="1">
        <v>163</v>
      </c>
      <c r="H42" s="1">
        <v>1.3894</v>
      </c>
      <c r="I42" s="1">
        <v>30961.34</v>
      </c>
      <c r="J42" s="1" t="s">
        <v>170</v>
      </c>
      <c r="K42" s="1">
        <v>0</v>
      </c>
    </row>
    <row r="43" spans="1:11" x14ac:dyDescent="0.3">
      <c r="A43" s="1" t="s">
        <v>171</v>
      </c>
      <c r="B43" s="1" t="s">
        <v>172</v>
      </c>
      <c r="C43" s="1" t="s">
        <v>173</v>
      </c>
      <c r="D43" s="1">
        <v>749723</v>
      </c>
      <c r="E43" s="1">
        <v>26000</v>
      </c>
      <c r="F43" s="1">
        <v>376</v>
      </c>
      <c r="G43" s="1">
        <v>3</v>
      </c>
      <c r="H43" s="1">
        <v>3.5181</v>
      </c>
      <c r="I43" s="1">
        <v>249907.67</v>
      </c>
      <c r="J43" s="1" t="s">
        <v>174</v>
      </c>
      <c r="K43" s="1">
        <v>0</v>
      </c>
    </row>
    <row r="44" spans="1:11" x14ac:dyDescent="0.3">
      <c r="A44" s="1" t="s">
        <v>175</v>
      </c>
      <c r="B44" s="1" t="s">
        <v>176</v>
      </c>
      <c r="C44" s="1" t="s">
        <v>177</v>
      </c>
      <c r="D44" s="1">
        <v>14761306</v>
      </c>
      <c r="E44" s="1">
        <v>452000</v>
      </c>
      <c r="F44" s="1">
        <v>1042</v>
      </c>
      <c r="G44" s="1">
        <v>186</v>
      </c>
      <c r="H44" s="1">
        <v>3.0691000000000002</v>
      </c>
      <c r="I44" s="1">
        <v>79361.86</v>
      </c>
      <c r="J44" s="1" t="s">
        <v>178</v>
      </c>
      <c r="K44" s="1">
        <v>0</v>
      </c>
    </row>
    <row r="45" spans="1:11" x14ac:dyDescent="0.3">
      <c r="A45" s="1" t="s">
        <v>179</v>
      </c>
      <c r="B45" s="1" t="s">
        <v>180</v>
      </c>
      <c r="C45" s="1" t="s">
        <v>62</v>
      </c>
      <c r="D45" s="1">
        <v>276240</v>
      </c>
      <c r="E45" s="1">
        <v>8500</v>
      </c>
      <c r="F45" s="1">
        <v>820</v>
      </c>
      <c r="G45" s="1">
        <v>217</v>
      </c>
      <c r="H45" s="1">
        <v>3.3738999999999999</v>
      </c>
      <c r="I45" s="1">
        <v>1273</v>
      </c>
      <c r="J45" s="1" t="s">
        <v>181</v>
      </c>
      <c r="K45" s="1">
        <v>388</v>
      </c>
    </row>
    <row r="46" spans="1:11" x14ac:dyDescent="0.3">
      <c r="A46" s="1" t="s">
        <v>182</v>
      </c>
      <c r="B46" s="1" t="s">
        <v>183</v>
      </c>
      <c r="C46" s="1" t="s">
        <v>184</v>
      </c>
      <c r="D46" s="1">
        <v>2104605</v>
      </c>
      <c r="E46" s="1">
        <v>18000</v>
      </c>
      <c r="F46" s="1">
        <v>496</v>
      </c>
      <c r="G46" s="1">
        <v>3</v>
      </c>
      <c r="H46" s="1">
        <v>0.87880000000000003</v>
      </c>
      <c r="I46" s="1">
        <v>701535</v>
      </c>
      <c r="J46" s="1" t="s">
        <v>185</v>
      </c>
      <c r="K46" s="1">
        <v>517</v>
      </c>
    </row>
    <row r="47" spans="1:11" x14ac:dyDescent="0.3">
      <c r="A47" s="1" t="s">
        <v>186</v>
      </c>
      <c r="B47" s="1" t="s">
        <v>187</v>
      </c>
      <c r="C47" s="1" t="s">
        <v>188</v>
      </c>
      <c r="D47" s="1">
        <v>4186937</v>
      </c>
      <c r="E47" s="1">
        <v>17000</v>
      </c>
      <c r="F47" s="1">
        <v>417</v>
      </c>
      <c r="G47" s="1">
        <v>145</v>
      </c>
      <c r="H47" s="1">
        <v>0.41599999999999998</v>
      </c>
      <c r="I47" s="1">
        <v>28875.43</v>
      </c>
      <c r="J47" s="1" t="s">
        <v>189</v>
      </c>
      <c r="K47" s="1">
        <v>39</v>
      </c>
    </row>
    <row r="48" spans="1:11" x14ac:dyDescent="0.3">
      <c r="A48" s="1" t="s">
        <v>190</v>
      </c>
      <c r="B48" s="1" t="s">
        <v>191</v>
      </c>
      <c r="C48" s="1" t="s">
        <v>192</v>
      </c>
      <c r="D48" s="1">
        <v>502</v>
      </c>
      <c r="E48" s="1">
        <v>27</v>
      </c>
      <c r="F48" s="1">
        <v>0</v>
      </c>
      <c r="G48" s="1">
        <v>1</v>
      </c>
      <c r="H48" s="1">
        <v>5.3784999999999998</v>
      </c>
      <c r="I48" s="1">
        <v>502</v>
      </c>
      <c r="J48" s="1" t="s">
        <v>193</v>
      </c>
      <c r="K48" s="1">
        <v>0</v>
      </c>
    </row>
    <row r="49" spans="1:11" x14ac:dyDescent="0.3">
      <c r="A49" s="1" t="s">
        <v>194</v>
      </c>
      <c r="B49" s="1" t="s">
        <v>195</v>
      </c>
      <c r="C49" s="1" t="s">
        <v>196</v>
      </c>
      <c r="D49" s="1">
        <v>503</v>
      </c>
      <c r="E49" s="1">
        <v>5</v>
      </c>
      <c r="F49" s="1">
        <v>0</v>
      </c>
      <c r="G49" s="1">
        <v>1</v>
      </c>
      <c r="H49" s="1">
        <v>0.99399999999999999</v>
      </c>
      <c r="I49" s="1">
        <v>503</v>
      </c>
      <c r="J49" s="1" t="s">
        <v>197</v>
      </c>
      <c r="K49" s="1">
        <v>0</v>
      </c>
    </row>
    <row r="50" spans="1:11" x14ac:dyDescent="0.3">
      <c r="A50" s="1" t="s">
        <v>198</v>
      </c>
      <c r="B50" s="1" t="s">
        <v>199</v>
      </c>
      <c r="C50" s="1" t="s">
        <v>200</v>
      </c>
      <c r="D50" s="1">
        <v>7032</v>
      </c>
      <c r="E50" s="1">
        <v>233</v>
      </c>
      <c r="F50" s="1">
        <v>0</v>
      </c>
      <c r="G50" s="1">
        <v>1</v>
      </c>
      <c r="H50" s="1">
        <v>3.3134000000000001</v>
      </c>
      <c r="I50" s="1">
        <v>7032</v>
      </c>
      <c r="J50" s="1" t="s">
        <v>201</v>
      </c>
      <c r="K50" s="1">
        <v>145</v>
      </c>
    </row>
    <row r="51" spans="1:11" x14ac:dyDescent="0.3">
      <c r="A51" s="1" t="s">
        <v>202</v>
      </c>
      <c r="B51" s="1" t="s">
        <v>203</v>
      </c>
      <c r="C51" s="1" t="s">
        <v>204</v>
      </c>
      <c r="D51" s="1">
        <v>117684083</v>
      </c>
      <c r="E51" s="1">
        <v>261000</v>
      </c>
      <c r="F51" s="1">
        <v>0</v>
      </c>
      <c r="G51" s="1">
        <v>1987</v>
      </c>
      <c r="H51" s="1">
        <v>0.2218</v>
      </c>
      <c r="I51" s="1">
        <v>59227.02</v>
      </c>
      <c r="J51" s="1" t="s">
        <v>205</v>
      </c>
      <c r="K51" s="1">
        <v>435</v>
      </c>
    </row>
    <row r="52" spans="1:11" x14ac:dyDescent="0.3">
      <c r="A52" s="1" t="s">
        <v>206</v>
      </c>
      <c r="B52" s="1" t="s">
        <v>207</v>
      </c>
      <c r="C52" s="1" t="s">
        <v>208</v>
      </c>
      <c r="D52" s="1">
        <v>15816081</v>
      </c>
      <c r="E52" s="1">
        <v>51000</v>
      </c>
      <c r="F52" s="1">
        <v>537</v>
      </c>
      <c r="G52" s="1">
        <v>545</v>
      </c>
      <c r="H52" s="1">
        <v>0.32590000000000002</v>
      </c>
      <c r="I52" s="1">
        <v>29020.33</v>
      </c>
      <c r="J52" s="1" t="s">
        <v>209</v>
      </c>
      <c r="K52" s="1">
        <v>188</v>
      </c>
    </row>
    <row r="53" spans="1:11" x14ac:dyDescent="0.3">
      <c r="A53" s="1" t="s">
        <v>210</v>
      </c>
      <c r="B53" s="1" t="s">
        <v>211</v>
      </c>
      <c r="C53" s="1" t="s">
        <v>212</v>
      </c>
      <c r="D53" s="1">
        <v>1502</v>
      </c>
      <c r="E53" s="1">
        <v>68</v>
      </c>
      <c r="F53" s="1">
        <v>2</v>
      </c>
      <c r="G53" s="1">
        <v>1</v>
      </c>
      <c r="H53" s="1">
        <v>4.6604999999999999</v>
      </c>
      <c r="I53" s="1">
        <v>1502</v>
      </c>
      <c r="J53" s="1" t="s">
        <v>213</v>
      </c>
      <c r="K53" s="1">
        <v>398</v>
      </c>
    </row>
    <row r="54" spans="1:11" x14ac:dyDescent="0.3">
      <c r="A54" s="1" t="s">
        <v>214</v>
      </c>
      <c r="B54" s="1" t="s">
        <v>215</v>
      </c>
      <c r="C54" s="1" t="s">
        <v>216</v>
      </c>
      <c r="D54" s="1">
        <v>186764</v>
      </c>
      <c r="E54" s="1">
        <v>9000</v>
      </c>
      <c r="F54" s="1">
        <v>434</v>
      </c>
      <c r="G54" s="1">
        <v>124</v>
      </c>
      <c r="H54" s="1">
        <v>5.0513000000000003</v>
      </c>
      <c r="I54" s="1">
        <v>1506.16</v>
      </c>
      <c r="J54" s="1" t="s">
        <v>217</v>
      </c>
      <c r="K54" s="1">
        <v>422</v>
      </c>
    </row>
    <row r="55" spans="1:11" x14ac:dyDescent="0.3">
      <c r="A55" s="1" t="s">
        <v>218</v>
      </c>
      <c r="B55" s="1" t="s">
        <v>219</v>
      </c>
      <c r="C55" s="1" t="s">
        <v>62</v>
      </c>
      <c r="D55" s="1">
        <v>318170</v>
      </c>
      <c r="E55" s="1">
        <v>16000</v>
      </c>
      <c r="F55" s="1">
        <v>942</v>
      </c>
      <c r="G55" s="1">
        <v>131</v>
      </c>
      <c r="H55" s="1">
        <v>5.3247999999999998</v>
      </c>
      <c r="I55" s="1">
        <v>2428.7800000000002</v>
      </c>
      <c r="J55" s="1" t="s">
        <v>220</v>
      </c>
      <c r="K55" s="1">
        <v>1127</v>
      </c>
    </row>
    <row r="56" spans="1:11" x14ac:dyDescent="0.3">
      <c r="A56" s="1" t="s">
        <v>221</v>
      </c>
      <c r="B56" s="1" t="s">
        <v>222</v>
      </c>
      <c r="C56" s="1" t="s">
        <v>216</v>
      </c>
      <c r="D56" s="1">
        <v>239717</v>
      </c>
      <c r="E56" s="1">
        <v>12000</v>
      </c>
      <c r="F56" s="1">
        <v>8492</v>
      </c>
      <c r="G56" s="1">
        <v>358</v>
      </c>
      <c r="H56" s="1">
        <v>8.5484000000000009</v>
      </c>
      <c r="I56" s="1">
        <v>669.6</v>
      </c>
      <c r="J56" s="1" t="s">
        <v>223</v>
      </c>
      <c r="K56" s="1">
        <v>343</v>
      </c>
    </row>
    <row r="57" spans="1:11" x14ac:dyDescent="0.3">
      <c r="A57" s="1" t="s">
        <v>224</v>
      </c>
      <c r="B57" s="1" t="s">
        <v>225</v>
      </c>
      <c r="C57" s="1" t="s">
        <v>226</v>
      </c>
      <c r="D57" s="1">
        <v>3468466</v>
      </c>
      <c r="E57" s="1">
        <v>36000</v>
      </c>
      <c r="F57" s="1">
        <v>1212</v>
      </c>
      <c r="G57" s="1">
        <v>242</v>
      </c>
      <c r="H57" s="1">
        <v>1.0729</v>
      </c>
      <c r="I57" s="1">
        <v>14332.5</v>
      </c>
      <c r="J57" s="1" t="s">
        <v>227</v>
      </c>
      <c r="K57" s="1">
        <v>712</v>
      </c>
    </row>
    <row r="58" spans="1:11" x14ac:dyDescent="0.3">
      <c r="A58" s="1" t="s">
        <v>228</v>
      </c>
      <c r="B58" s="1" t="s">
        <v>229</v>
      </c>
      <c r="C58" s="1" t="s">
        <v>230</v>
      </c>
      <c r="D58" s="1">
        <v>24551</v>
      </c>
      <c r="E58" s="1">
        <v>784</v>
      </c>
      <c r="F58" s="1">
        <v>74</v>
      </c>
      <c r="G58" s="1">
        <v>3</v>
      </c>
      <c r="H58" s="1">
        <v>3.4948000000000001</v>
      </c>
      <c r="I58" s="1">
        <v>8183.67</v>
      </c>
      <c r="J58" s="1" t="s">
        <v>231</v>
      </c>
      <c r="K58" s="1">
        <v>721</v>
      </c>
    </row>
    <row r="59" spans="1:11" x14ac:dyDescent="0.3">
      <c r="A59" s="1" t="s">
        <v>232</v>
      </c>
      <c r="B59" s="1" t="s">
        <v>233</v>
      </c>
      <c r="C59" s="1" t="s">
        <v>234</v>
      </c>
      <c r="D59" s="1">
        <v>8716351</v>
      </c>
      <c r="E59" s="1">
        <v>191000</v>
      </c>
      <c r="F59" s="1">
        <v>7055</v>
      </c>
      <c r="G59" s="1">
        <v>1635</v>
      </c>
      <c r="H59" s="1">
        <v>2.2722000000000002</v>
      </c>
      <c r="I59" s="1">
        <v>5331.1</v>
      </c>
      <c r="J59" s="1" t="s">
        <v>235</v>
      </c>
      <c r="K59" s="1">
        <v>457</v>
      </c>
    </row>
    <row r="60" spans="1:11" x14ac:dyDescent="0.3">
      <c r="A60" s="1" t="s">
        <v>236</v>
      </c>
      <c r="B60" s="1" t="s">
        <v>237</v>
      </c>
      <c r="C60" s="1" t="s">
        <v>238</v>
      </c>
      <c r="D60" s="1">
        <v>8527</v>
      </c>
      <c r="E60" s="1">
        <v>568</v>
      </c>
      <c r="F60" s="1">
        <v>136</v>
      </c>
      <c r="G60" s="1">
        <v>5</v>
      </c>
      <c r="H60" s="1">
        <v>8.2561</v>
      </c>
      <c r="I60" s="1">
        <v>1705.4</v>
      </c>
      <c r="J60" s="1" t="s">
        <v>239</v>
      </c>
      <c r="K60" s="1">
        <v>783</v>
      </c>
    </row>
    <row r="61" spans="1:11" x14ac:dyDescent="0.3">
      <c r="A61" s="1" t="s">
        <v>240</v>
      </c>
      <c r="B61" s="1" t="s">
        <v>241</v>
      </c>
      <c r="C61" s="1" t="s">
        <v>242</v>
      </c>
      <c r="D61" s="1">
        <v>1201844</v>
      </c>
      <c r="E61" s="1">
        <v>11000</v>
      </c>
      <c r="F61" s="1">
        <v>593</v>
      </c>
      <c r="G61" s="1">
        <v>286</v>
      </c>
      <c r="H61" s="1">
        <v>0.96460000000000001</v>
      </c>
      <c r="I61" s="1">
        <v>4202.25</v>
      </c>
      <c r="J61" s="1" t="s">
        <v>243</v>
      </c>
      <c r="K61" s="1">
        <v>4832</v>
      </c>
    </row>
    <row r="62" spans="1:11" x14ac:dyDescent="0.3">
      <c r="A62" s="1" t="s">
        <v>244</v>
      </c>
      <c r="B62" s="1" t="s">
        <v>245</v>
      </c>
      <c r="C62" s="1" t="s">
        <v>246</v>
      </c>
      <c r="D62" s="1">
        <v>12011471</v>
      </c>
      <c r="E62" s="1">
        <v>1300</v>
      </c>
      <c r="F62" s="1">
        <v>52</v>
      </c>
      <c r="G62" s="1">
        <v>1511</v>
      </c>
      <c r="H62" s="1">
        <v>1.1299999999999999E-2</v>
      </c>
      <c r="I62" s="1">
        <v>7949.35</v>
      </c>
      <c r="J62" s="1" t="s">
        <v>247</v>
      </c>
      <c r="K62" s="1">
        <v>343</v>
      </c>
    </row>
    <row r="63" spans="1:11" x14ac:dyDescent="0.3">
      <c r="A63" s="1" t="s">
        <v>248</v>
      </c>
      <c r="B63" s="1" t="s">
        <v>249</v>
      </c>
      <c r="C63" s="1" t="s">
        <v>250</v>
      </c>
      <c r="D63" s="1">
        <v>65873</v>
      </c>
      <c r="E63" s="1">
        <v>3600</v>
      </c>
      <c r="F63" s="1">
        <v>176</v>
      </c>
      <c r="G63" s="1">
        <v>4</v>
      </c>
      <c r="H63" s="1">
        <v>5.7321999999999997</v>
      </c>
      <c r="I63" s="1">
        <v>16468.25</v>
      </c>
      <c r="J63" s="1" t="s">
        <v>251</v>
      </c>
      <c r="K63" s="1">
        <v>2539</v>
      </c>
    </row>
    <row r="64" spans="1:11" x14ac:dyDescent="0.3">
      <c r="A64" s="1" t="s">
        <v>252</v>
      </c>
      <c r="B64" s="1" t="s">
        <v>253</v>
      </c>
      <c r="C64" s="1" t="s">
        <v>254</v>
      </c>
      <c r="D64" s="1">
        <v>2212450</v>
      </c>
      <c r="E64" s="1">
        <v>38000</v>
      </c>
      <c r="F64" s="1">
        <v>4807</v>
      </c>
      <c r="G64" s="1">
        <v>553</v>
      </c>
      <c r="H64" s="1">
        <v>1.9348000000000001</v>
      </c>
      <c r="I64" s="1">
        <v>4000.81</v>
      </c>
      <c r="J64" s="1" t="s">
        <v>255</v>
      </c>
      <c r="K64" s="1">
        <v>383</v>
      </c>
    </row>
    <row r="65" spans="1:11" x14ac:dyDescent="0.3">
      <c r="A65" s="1" t="s">
        <v>256</v>
      </c>
      <c r="B65" s="1" t="s">
        <v>257</v>
      </c>
      <c r="C65" s="1" t="s">
        <v>258</v>
      </c>
      <c r="D65" s="1">
        <v>12358071</v>
      </c>
      <c r="E65" s="1">
        <v>17000</v>
      </c>
      <c r="F65" s="1">
        <v>0</v>
      </c>
      <c r="G65" s="1">
        <v>1060</v>
      </c>
      <c r="H65" s="1">
        <v>0.1376</v>
      </c>
      <c r="I65" s="1">
        <v>11658.56</v>
      </c>
      <c r="J65" s="1" t="s">
        <v>259</v>
      </c>
      <c r="K65" s="1">
        <v>80</v>
      </c>
    </row>
    <row r="66" spans="1:11" x14ac:dyDescent="0.3">
      <c r="A66" s="1" t="s">
        <v>260</v>
      </c>
      <c r="B66" s="1" t="s">
        <v>261</v>
      </c>
      <c r="C66" s="1" t="s">
        <v>262</v>
      </c>
      <c r="D66" s="1">
        <v>189619</v>
      </c>
      <c r="E66" s="1">
        <v>20000</v>
      </c>
      <c r="F66" s="1">
        <v>2207</v>
      </c>
      <c r="G66" s="1">
        <v>17</v>
      </c>
      <c r="H66" s="1">
        <v>11.711399999999999</v>
      </c>
      <c r="I66" s="1">
        <v>11154.06</v>
      </c>
      <c r="J66" s="1" t="s">
        <v>263</v>
      </c>
      <c r="K66" s="1">
        <v>341</v>
      </c>
    </row>
    <row r="67" spans="1:11" x14ac:dyDescent="0.3">
      <c r="A67" s="1" t="s">
        <v>264</v>
      </c>
      <c r="B67" s="1" t="s">
        <v>265</v>
      </c>
      <c r="C67" s="1" t="s">
        <v>266</v>
      </c>
      <c r="D67" s="1">
        <v>1462083</v>
      </c>
      <c r="E67" s="1">
        <v>16000</v>
      </c>
      <c r="F67" s="1">
        <v>323</v>
      </c>
      <c r="G67" s="1">
        <v>312</v>
      </c>
      <c r="H67" s="1">
        <v>1.1164000000000001</v>
      </c>
      <c r="I67" s="1">
        <v>4686.16</v>
      </c>
      <c r="J67" s="1" t="s">
        <v>267</v>
      </c>
      <c r="K67" s="1">
        <v>170</v>
      </c>
    </row>
    <row r="68" spans="1:11" x14ac:dyDescent="0.3">
      <c r="A68" s="1" t="s">
        <v>268</v>
      </c>
      <c r="B68" s="1" t="s">
        <v>269</v>
      </c>
      <c r="C68" s="1" t="s">
        <v>270</v>
      </c>
      <c r="D68" s="1">
        <v>3861480</v>
      </c>
      <c r="E68" s="1">
        <v>52000</v>
      </c>
      <c r="F68" s="1">
        <v>2506</v>
      </c>
      <c r="G68" s="1">
        <v>191</v>
      </c>
      <c r="H68" s="1">
        <v>1.4115</v>
      </c>
      <c r="I68" s="1">
        <v>20217.169999999998</v>
      </c>
      <c r="J68" s="1" t="s">
        <v>271</v>
      </c>
      <c r="K68" s="1">
        <v>23</v>
      </c>
    </row>
    <row r="69" spans="1:11" x14ac:dyDescent="0.3">
      <c r="A69" s="1" t="s">
        <v>272</v>
      </c>
      <c r="B69" s="1" t="s">
        <v>273</v>
      </c>
      <c r="C69" s="1" t="s">
        <v>274</v>
      </c>
      <c r="D69" s="1">
        <v>3243279</v>
      </c>
      <c r="E69" s="1">
        <v>37000</v>
      </c>
      <c r="F69" s="1">
        <v>3051</v>
      </c>
      <c r="G69" s="1">
        <v>280</v>
      </c>
      <c r="H69" s="1">
        <v>1.2349000000000001</v>
      </c>
      <c r="I69" s="1">
        <v>11583.14</v>
      </c>
      <c r="J69" s="1" t="s">
        <v>275</v>
      </c>
      <c r="K69" s="1">
        <v>1390</v>
      </c>
    </row>
    <row r="70" spans="1:11" x14ac:dyDescent="0.3">
      <c r="A70" s="1" t="s">
        <v>276</v>
      </c>
      <c r="B70" s="1" t="s">
        <v>277</v>
      </c>
      <c r="C70" s="1" t="s">
        <v>278</v>
      </c>
      <c r="D70" s="1">
        <v>16560</v>
      </c>
      <c r="E70" s="1">
        <v>711</v>
      </c>
      <c r="F70" s="1">
        <v>13</v>
      </c>
      <c r="G70" s="1">
        <v>1</v>
      </c>
      <c r="H70" s="1">
        <v>4.3719999999999999</v>
      </c>
      <c r="I70" s="1">
        <v>16560</v>
      </c>
      <c r="J70" s="1" t="s">
        <v>279</v>
      </c>
      <c r="K70" s="1">
        <v>2929</v>
      </c>
    </row>
    <row r="71" spans="1:11" x14ac:dyDescent="0.3">
      <c r="A71" s="1" t="s">
        <v>280</v>
      </c>
      <c r="B71" s="1" t="s">
        <v>281</v>
      </c>
      <c r="C71" s="1" t="s">
        <v>282</v>
      </c>
      <c r="D71" s="1">
        <v>329890</v>
      </c>
      <c r="E71" s="1">
        <v>17000</v>
      </c>
      <c r="F71" s="1">
        <v>7319</v>
      </c>
      <c r="G71" s="1">
        <v>417</v>
      </c>
      <c r="H71" s="1">
        <v>7.3719000000000001</v>
      </c>
      <c r="I71" s="1">
        <v>791.1</v>
      </c>
      <c r="J71" s="1" t="s">
        <v>283</v>
      </c>
      <c r="K71" s="1">
        <v>1080</v>
      </c>
    </row>
    <row r="72" spans="1:11" x14ac:dyDescent="0.3">
      <c r="A72" s="1" t="s">
        <v>284</v>
      </c>
      <c r="B72" s="1" t="s">
        <v>285</v>
      </c>
      <c r="C72" s="1" t="s">
        <v>286</v>
      </c>
      <c r="D72" s="1">
        <v>4095</v>
      </c>
      <c r="E72" s="1">
        <v>110</v>
      </c>
      <c r="F72" s="1">
        <v>0</v>
      </c>
      <c r="G72" s="1">
        <v>1</v>
      </c>
      <c r="H72" s="1">
        <v>2.6861999999999999</v>
      </c>
      <c r="I72" s="1">
        <v>4095</v>
      </c>
      <c r="J72" s="1" t="s">
        <v>287</v>
      </c>
      <c r="K72" s="1">
        <v>149</v>
      </c>
    </row>
    <row r="73" spans="1:11" x14ac:dyDescent="0.3">
      <c r="A73" s="1" t="s">
        <v>288</v>
      </c>
      <c r="B73" s="1" t="s">
        <v>289</v>
      </c>
      <c r="C73" s="1" t="s">
        <v>290</v>
      </c>
      <c r="D73" s="1">
        <v>453542</v>
      </c>
      <c r="E73" s="1">
        <v>33000</v>
      </c>
      <c r="F73" s="1">
        <v>2528</v>
      </c>
      <c r="G73" s="1">
        <v>37</v>
      </c>
      <c r="H73" s="1">
        <v>7.8334999999999999</v>
      </c>
      <c r="I73" s="1">
        <v>12257.89</v>
      </c>
      <c r="J73" s="1" t="s">
        <v>291</v>
      </c>
      <c r="K73" s="1">
        <v>952</v>
      </c>
    </row>
    <row r="74" spans="1:11" x14ac:dyDescent="0.3">
      <c r="A74" s="1" t="s">
        <v>292</v>
      </c>
      <c r="B74" s="1" t="s">
        <v>293</v>
      </c>
      <c r="C74" s="1" t="s">
        <v>216</v>
      </c>
      <c r="D74" s="1">
        <v>9611</v>
      </c>
      <c r="E74" s="1">
        <v>379</v>
      </c>
      <c r="F74" s="1">
        <v>84</v>
      </c>
      <c r="G74" s="1">
        <v>61</v>
      </c>
      <c r="H74" s="1">
        <v>4.8174000000000001</v>
      </c>
      <c r="I74" s="1">
        <v>157.56</v>
      </c>
      <c r="J74" s="1" t="s">
        <v>294</v>
      </c>
      <c r="K74" s="1">
        <v>422</v>
      </c>
    </row>
    <row r="75" spans="1:11" x14ac:dyDescent="0.3">
      <c r="A75" s="1" t="s">
        <v>295</v>
      </c>
      <c r="B75" s="1" t="s">
        <v>296</v>
      </c>
      <c r="C75" s="1" t="s">
        <v>297</v>
      </c>
      <c r="D75" s="1">
        <v>1851643</v>
      </c>
      <c r="E75" s="1">
        <v>14000</v>
      </c>
      <c r="F75" s="1">
        <v>1895</v>
      </c>
      <c r="G75" s="1">
        <v>249</v>
      </c>
      <c r="H75" s="1">
        <v>0.85840000000000005</v>
      </c>
      <c r="I75" s="1">
        <v>7436.32</v>
      </c>
      <c r="J75" s="1" t="s">
        <v>298</v>
      </c>
      <c r="K75" s="1">
        <v>1595</v>
      </c>
    </row>
    <row r="76" spans="1:11" x14ac:dyDescent="0.3">
      <c r="A76" s="1" t="s">
        <v>299</v>
      </c>
      <c r="B76" s="1" t="s">
        <v>300</v>
      </c>
      <c r="C76" s="1" t="s">
        <v>301</v>
      </c>
      <c r="D76" s="1">
        <v>5979</v>
      </c>
      <c r="E76" s="1">
        <v>358</v>
      </c>
      <c r="F76" s="1">
        <v>57</v>
      </c>
      <c r="G76" s="1">
        <v>6</v>
      </c>
      <c r="H76" s="1">
        <v>6.9409999999999998</v>
      </c>
      <c r="I76" s="1">
        <v>996.5</v>
      </c>
      <c r="J76" s="1" t="s">
        <v>302</v>
      </c>
      <c r="K76" s="1">
        <v>309</v>
      </c>
    </row>
    <row r="77" spans="1:11" x14ac:dyDescent="0.3">
      <c r="A77" s="1" t="s">
        <v>303</v>
      </c>
      <c r="B77" s="1" t="s">
        <v>304</v>
      </c>
      <c r="C77" s="1" t="s">
        <v>305</v>
      </c>
      <c r="D77" s="1">
        <v>8755497</v>
      </c>
      <c r="E77" s="1">
        <v>58000</v>
      </c>
      <c r="F77" s="1">
        <v>377</v>
      </c>
      <c r="G77" s="1">
        <v>288</v>
      </c>
      <c r="H77" s="1">
        <v>0.66669999999999996</v>
      </c>
      <c r="I77" s="1">
        <v>30401.03</v>
      </c>
      <c r="J77" s="1" t="s">
        <v>306</v>
      </c>
      <c r="K77" s="1">
        <v>0</v>
      </c>
    </row>
    <row r="78" spans="1:11" x14ac:dyDescent="0.3">
      <c r="A78" s="1" t="s">
        <v>307</v>
      </c>
      <c r="B78" s="1" t="s">
        <v>308</v>
      </c>
      <c r="C78" s="1" t="s">
        <v>309</v>
      </c>
      <c r="D78" s="1">
        <v>9089235</v>
      </c>
      <c r="E78" s="1">
        <v>316000</v>
      </c>
      <c r="F78" s="1">
        <v>2975</v>
      </c>
      <c r="G78" s="1">
        <v>627</v>
      </c>
      <c r="H78" s="1">
        <v>3.5093999999999999</v>
      </c>
      <c r="I78" s="1">
        <v>14496.39</v>
      </c>
      <c r="J78" s="1" t="s">
        <v>310</v>
      </c>
      <c r="K78" s="1">
        <v>0</v>
      </c>
    </row>
    <row r="79" spans="1:11" x14ac:dyDescent="0.3">
      <c r="A79" s="1" t="s">
        <v>311</v>
      </c>
      <c r="B79" s="1" t="s">
        <v>312</v>
      </c>
      <c r="C79" s="1" t="s">
        <v>313</v>
      </c>
      <c r="D79" s="1">
        <v>3854779</v>
      </c>
      <c r="E79" s="1">
        <v>36000</v>
      </c>
      <c r="F79" s="1">
        <v>645</v>
      </c>
      <c r="G79" s="1">
        <v>160</v>
      </c>
      <c r="H79" s="1">
        <v>0.9506</v>
      </c>
      <c r="I79" s="1">
        <v>24092.37</v>
      </c>
      <c r="J79" s="1" t="s">
        <v>314</v>
      </c>
      <c r="K79" s="1">
        <v>0</v>
      </c>
    </row>
    <row r="80" spans="1:11" x14ac:dyDescent="0.3">
      <c r="A80" s="1" t="s">
        <v>315</v>
      </c>
      <c r="B80" s="1" t="s">
        <v>316</v>
      </c>
      <c r="C80" s="1" t="s">
        <v>309</v>
      </c>
      <c r="D80" s="1">
        <v>49053533</v>
      </c>
      <c r="E80" s="1">
        <v>548000</v>
      </c>
      <c r="F80" s="1">
        <v>9377</v>
      </c>
      <c r="G80" s="1">
        <v>254</v>
      </c>
      <c r="H80" s="1">
        <v>1.1363000000000001</v>
      </c>
      <c r="I80" s="1">
        <v>193124.15</v>
      </c>
      <c r="J80" s="1" t="s">
        <v>317</v>
      </c>
      <c r="K80" s="1">
        <v>0</v>
      </c>
    </row>
    <row r="81" spans="1:11" x14ac:dyDescent="0.3">
      <c r="A81" s="1" t="s">
        <v>318</v>
      </c>
      <c r="B81" s="1" t="s">
        <v>319</v>
      </c>
      <c r="C81" s="1" t="s">
        <v>320</v>
      </c>
      <c r="D81" s="1">
        <v>22872335</v>
      </c>
      <c r="E81" s="1">
        <v>110000</v>
      </c>
      <c r="F81" s="1">
        <v>16079</v>
      </c>
      <c r="G81" s="1">
        <v>214</v>
      </c>
      <c r="H81" s="1">
        <v>0.55120000000000002</v>
      </c>
      <c r="I81" s="1">
        <v>106880.07</v>
      </c>
      <c r="J81" s="1" t="s">
        <v>321</v>
      </c>
      <c r="K81" s="1">
        <v>544</v>
      </c>
    </row>
    <row r="82" spans="1:11" x14ac:dyDescent="0.3">
      <c r="A82" s="1" t="s">
        <v>322</v>
      </c>
      <c r="B82" s="1" t="s">
        <v>323</v>
      </c>
      <c r="C82" s="1" t="s">
        <v>324</v>
      </c>
      <c r="D82" s="1">
        <v>16293901</v>
      </c>
      <c r="E82" s="1">
        <v>581000</v>
      </c>
      <c r="F82" s="1">
        <v>2183</v>
      </c>
      <c r="G82" s="1">
        <v>619</v>
      </c>
      <c r="H82" s="1">
        <v>3.5790999999999999</v>
      </c>
      <c r="I82" s="1">
        <v>26322.94</v>
      </c>
      <c r="J82" s="1" t="s">
        <v>325</v>
      </c>
      <c r="K82" s="1">
        <v>0</v>
      </c>
    </row>
    <row r="83" spans="1:11" x14ac:dyDescent="0.3">
      <c r="A83" s="1" t="s">
        <v>326</v>
      </c>
      <c r="B83" s="1" t="s">
        <v>327</v>
      </c>
      <c r="C83" s="1" t="s">
        <v>328</v>
      </c>
      <c r="D83" s="1">
        <v>2489518</v>
      </c>
      <c r="E83" s="1">
        <v>16000</v>
      </c>
      <c r="F83" s="1">
        <v>607</v>
      </c>
      <c r="G83" s="1">
        <v>424</v>
      </c>
      <c r="H83" s="1">
        <v>0.66710000000000003</v>
      </c>
      <c r="I83" s="1">
        <v>5871.5</v>
      </c>
      <c r="J83" s="1" t="s">
        <v>329</v>
      </c>
      <c r="K83" s="1">
        <v>466</v>
      </c>
    </row>
    <row r="84" spans="1:11" x14ac:dyDescent="0.3">
      <c r="A84" s="1" t="s">
        <v>330</v>
      </c>
      <c r="B84" s="1" t="s">
        <v>331</v>
      </c>
      <c r="C84" s="1" t="s">
        <v>332</v>
      </c>
      <c r="D84" s="1">
        <v>48830791</v>
      </c>
      <c r="E84" s="1">
        <v>441000</v>
      </c>
      <c r="F84" s="1">
        <v>19424</v>
      </c>
      <c r="G84" s="1">
        <v>531</v>
      </c>
      <c r="H84" s="1">
        <v>0.94289999999999996</v>
      </c>
      <c r="I84" s="1">
        <v>91960.06</v>
      </c>
      <c r="J84" s="1" t="s">
        <v>333</v>
      </c>
      <c r="K84" s="1">
        <v>0</v>
      </c>
    </row>
    <row r="85" spans="1:11" x14ac:dyDescent="0.3">
      <c r="A85" s="1" t="s">
        <v>334</v>
      </c>
      <c r="B85" s="1" t="s">
        <v>335</v>
      </c>
      <c r="C85" s="1" t="s">
        <v>336</v>
      </c>
      <c r="D85" s="1">
        <v>1161219</v>
      </c>
      <c r="E85" s="1">
        <v>0</v>
      </c>
      <c r="F85" s="1">
        <v>0</v>
      </c>
      <c r="G85" s="1">
        <v>553</v>
      </c>
      <c r="H85" s="1">
        <v>0</v>
      </c>
      <c r="I85" s="1">
        <v>2099.85</v>
      </c>
      <c r="J85" s="1" t="s">
        <v>337</v>
      </c>
      <c r="K85" s="1">
        <v>130</v>
      </c>
    </row>
    <row r="86" spans="1:11" x14ac:dyDescent="0.3">
      <c r="A86" s="1" t="s">
        <v>338</v>
      </c>
      <c r="B86" s="1" t="s">
        <v>339</v>
      </c>
      <c r="C86" s="1" t="s">
        <v>340</v>
      </c>
      <c r="D86" s="1">
        <v>4292680</v>
      </c>
      <c r="E86" s="1">
        <v>6900</v>
      </c>
      <c r="F86" s="1">
        <v>119</v>
      </c>
      <c r="G86" s="1">
        <v>282</v>
      </c>
      <c r="H86" s="1">
        <v>0.16350000000000001</v>
      </c>
      <c r="I86" s="1">
        <v>15222.27</v>
      </c>
      <c r="J86" s="1" t="s">
        <v>341</v>
      </c>
      <c r="K86" s="1">
        <v>0</v>
      </c>
    </row>
    <row r="87" spans="1:11" x14ac:dyDescent="0.3">
      <c r="A87" s="1" t="s">
        <v>342</v>
      </c>
      <c r="B87" s="1" t="s">
        <v>343</v>
      </c>
      <c r="C87" s="1" t="s">
        <v>344</v>
      </c>
      <c r="D87" s="1">
        <v>4603058</v>
      </c>
      <c r="E87" s="1">
        <v>75000</v>
      </c>
      <c r="F87" s="1">
        <v>379</v>
      </c>
      <c r="G87" s="1">
        <v>300</v>
      </c>
      <c r="H87" s="1">
        <v>1.6375999999999999</v>
      </c>
      <c r="I87" s="1">
        <v>15343.53</v>
      </c>
      <c r="J87" s="1" t="s">
        <v>345</v>
      </c>
      <c r="K87" s="1">
        <v>0</v>
      </c>
    </row>
    <row r="88" spans="1:11" x14ac:dyDescent="0.3">
      <c r="A88" s="1" t="s">
        <v>346</v>
      </c>
      <c r="B88" s="1" t="s">
        <v>347</v>
      </c>
      <c r="C88" s="1" t="s">
        <v>348</v>
      </c>
      <c r="D88" s="1">
        <v>183625</v>
      </c>
      <c r="E88" s="1">
        <v>7300</v>
      </c>
      <c r="F88" s="1">
        <v>5554</v>
      </c>
      <c r="G88" s="1">
        <v>27</v>
      </c>
      <c r="H88" s="1">
        <v>7.0000999999999998</v>
      </c>
      <c r="I88" s="1">
        <v>6800.93</v>
      </c>
      <c r="J88" s="1" t="s">
        <v>349</v>
      </c>
      <c r="K88" s="1">
        <v>4849</v>
      </c>
    </row>
    <row r="89" spans="1:11" x14ac:dyDescent="0.3">
      <c r="A89" s="1" t="s">
        <v>350</v>
      </c>
      <c r="B89" s="1" t="s">
        <v>351</v>
      </c>
      <c r="C89" s="1" t="s">
        <v>352</v>
      </c>
      <c r="D89" s="1">
        <v>738170</v>
      </c>
      <c r="E89" s="1">
        <v>18000</v>
      </c>
      <c r="F89" s="1">
        <v>1520</v>
      </c>
      <c r="G89" s="1">
        <v>187</v>
      </c>
      <c r="H89" s="1">
        <v>2.6444000000000001</v>
      </c>
      <c r="I89" s="1">
        <v>3947.43</v>
      </c>
      <c r="J89" s="1" t="s">
        <v>353</v>
      </c>
      <c r="K89" s="1">
        <v>3549</v>
      </c>
    </row>
    <row r="90" spans="1:11" x14ac:dyDescent="0.3">
      <c r="A90" s="1" t="s">
        <v>354</v>
      </c>
      <c r="B90" s="1" t="s">
        <v>355</v>
      </c>
      <c r="C90" s="1" t="s">
        <v>356</v>
      </c>
      <c r="D90" s="1">
        <v>350019</v>
      </c>
      <c r="E90" s="1">
        <v>9000</v>
      </c>
      <c r="F90" s="1">
        <v>2138</v>
      </c>
      <c r="G90" s="1">
        <v>90</v>
      </c>
      <c r="H90" s="1">
        <v>3.1821000000000002</v>
      </c>
      <c r="I90" s="1">
        <v>3889.1</v>
      </c>
      <c r="J90" s="1" t="s">
        <v>357</v>
      </c>
      <c r="K90" s="1">
        <v>2312</v>
      </c>
    </row>
    <row r="91" spans="1:11" x14ac:dyDescent="0.3">
      <c r="A91" s="1" t="s">
        <v>358</v>
      </c>
      <c r="B91" s="1" t="s">
        <v>359</v>
      </c>
      <c r="C91" s="1" t="s">
        <v>360</v>
      </c>
      <c r="D91" s="1">
        <v>2850459</v>
      </c>
      <c r="E91" s="1">
        <v>0</v>
      </c>
      <c r="F91" s="1">
        <v>0</v>
      </c>
      <c r="G91" s="1">
        <v>475</v>
      </c>
      <c r="H91" s="1">
        <v>0</v>
      </c>
      <c r="I91" s="1">
        <v>6000.97</v>
      </c>
      <c r="J91" s="1" t="s">
        <v>361</v>
      </c>
      <c r="K91" s="1">
        <v>87</v>
      </c>
    </row>
    <row r="92" spans="1:11" x14ac:dyDescent="0.3">
      <c r="A92" s="1" t="s">
        <v>362</v>
      </c>
      <c r="B92" s="1" t="s">
        <v>363</v>
      </c>
      <c r="C92" s="1" t="s">
        <v>364</v>
      </c>
      <c r="D92" s="1">
        <v>13195478</v>
      </c>
      <c r="E92" s="1">
        <v>37000</v>
      </c>
      <c r="F92" s="1">
        <v>433</v>
      </c>
      <c r="G92" s="1">
        <v>753</v>
      </c>
      <c r="H92" s="1">
        <v>0.28370000000000001</v>
      </c>
      <c r="I92" s="1">
        <v>17523.88</v>
      </c>
      <c r="J92" s="1" t="s">
        <v>365</v>
      </c>
      <c r="K92" s="1">
        <v>15</v>
      </c>
    </row>
    <row r="93" spans="1:11" x14ac:dyDescent="0.3">
      <c r="A93" s="1" t="s">
        <v>366</v>
      </c>
      <c r="B93" s="1" t="s">
        <v>367</v>
      </c>
      <c r="C93" s="1" t="s">
        <v>348</v>
      </c>
      <c r="D93" s="1">
        <v>110387</v>
      </c>
      <c r="E93" s="1">
        <v>4400</v>
      </c>
      <c r="F93" s="1">
        <v>4556</v>
      </c>
      <c r="G93" s="1">
        <v>40</v>
      </c>
      <c r="H93" s="1">
        <v>8.1133000000000006</v>
      </c>
      <c r="I93" s="1">
        <v>2759.68</v>
      </c>
      <c r="J93" s="1" t="s">
        <v>368</v>
      </c>
      <c r="K93" s="1">
        <v>4864</v>
      </c>
    </row>
    <row r="94" spans="1:11" x14ac:dyDescent="0.3">
      <c r="A94" s="1" t="s">
        <v>369</v>
      </c>
      <c r="B94" s="1" t="s">
        <v>370</v>
      </c>
      <c r="C94" s="1" t="s">
        <v>371</v>
      </c>
      <c r="D94" s="1">
        <v>303</v>
      </c>
      <c r="E94" s="1">
        <v>53</v>
      </c>
      <c r="F94" s="1">
        <v>4</v>
      </c>
      <c r="G94" s="1">
        <v>1</v>
      </c>
      <c r="H94" s="1">
        <v>18.811900000000001</v>
      </c>
      <c r="I94" s="1">
        <v>303</v>
      </c>
      <c r="J94" s="1" t="s">
        <v>372</v>
      </c>
      <c r="K94" s="1">
        <v>0</v>
      </c>
    </row>
    <row r="95" spans="1:11" x14ac:dyDescent="0.3">
      <c r="A95" s="1" t="s">
        <v>373</v>
      </c>
      <c r="B95" s="1" t="s">
        <v>374</v>
      </c>
      <c r="C95" s="1" t="s">
        <v>375</v>
      </c>
      <c r="D95" s="1">
        <v>2172147</v>
      </c>
      <c r="E95" s="1">
        <v>10000</v>
      </c>
      <c r="F95" s="1">
        <v>1955</v>
      </c>
      <c r="G95" s="1">
        <v>256</v>
      </c>
      <c r="H95" s="1">
        <v>0.5504</v>
      </c>
      <c r="I95" s="1">
        <v>8484.9500000000007</v>
      </c>
      <c r="J95" s="1" t="s">
        <v>376</v>
      </c>
      <c r="K95" s="1">
        <v>619</v>
      </c>
    </row>
    <row r="96" spans="1:11" x14ac:dyDescent="0.3">
      <c r="A96" s="1" t="s">
        <v>377</v>
      </c>
      <c r="B96" s="1" t="s">
        <v>378</v>
      </c>
      <c r="C96" s="1" t="s">
        <v>379</v>
      </c>
      <c r="D96" s="1">
        <v>253281</v>
      </c>
      <c r="E96" s="1">
        <v>4000</v>
      </c>
      <c r="F96" s="1">
        <v>528</v>
      </c>
      <c r="G96" s="1">
        <v>146</v>
      </c>
      <c r="H96" s="1">
        <v>1.7877000000000001</v>
      </c>
      <c r="I96" s="1">
        <v>1734.8</v>
      </c>
      <c r="J96" s="1" t="s">
        <v>380</v>
      </c>
      <c r="K96" s="1">
        <v>918</v>
      </c>
    </row>
    <row r="97" spans="1:11" x14ac:dyDescent="0.3">
      <c r="A97" s="1" t="s">
        <v>381</v>
      </c>
      <c r="B97" s="1" t="s">
        <v>382</v>
      </c>
      <c r="C97" s="1" t="s">
        <v>383</v>
      </c>
      <c r="D97" s="1">
        <v>10079</v>
      </c>
      <c r="E97" s="1">
        <v>157</v>
      </c>
      <c r="F97" s="1">
        <v>10</v>
      </c>
      <c r="G97" s="1">
        <v>162</v>
      </c>
      <c r="H97" s="1">
        <v>1.6569</v>
      </c>
      <c r="I97" s="1">
        <v>62.22</v>
      </c>
      <c r="J97" s="1" t="s">
        <v>384</v>
      </c>
      <c r="K97" s="1">
        <v>0</v>
      </c>
    </row>
    <row r="98" spans="1:11" x14ac:dyDescent="0.3">
      <c r="A98" s="1" t="s">
        <v>385</v>
      </c>
      <c r="B98" s="1" t="s">
        <v>386</v>
      </c>
      <c r="C98" s="1" t="s">
        <v>387</v>
      </c>
      <c r="D98" s="1">
        <v>87450</v>
      </c>
      <c r="E98" s="1">
        <v>7100</v>
      </c>
      <c r="F98" s="1">
        <v>574</v>
      </c>
      <c r="G98" s="1">
        <v>70</v>
      </c>
      <c r="H98" s="1">
        <v>8.7752999999999997</v>
      </c>
      <c r="I98" s="1">
        <v>1249.29</v>
      </c>
      <c r="J98" s="1" t="s">
        <v>388</v>
      </c>
      <c r="K98" s="1">
        <v>499</v>
      </c>
    </row>
    <row r="99" spans="1:11" x14ac:dyDescent="0.3">
      <c r="A99" s="1" t="s">
        <v>389</v>
      </c>
      <c r="B99" s="1" t="s">
        <v>390</v>
      </c>
      <c r="C99" s="1" t="s">
        <v>364</v>
      </c>
      <c r="D99" s="1">
        <v>7726985</v>
      </c>
      <c r="E99" s="1">
        <v>21000</v>
      </c>
      <c r="F99" s="1">
        <v>206</v>
      </c>
      <c r="G99" s="1">
        <v>832</v>
      </c>
      <c r="H99" s="1">
        <v>0.27439999999999998</v>
      </c>
      <c r="I99" s="1">
        <v>9287.24</v>
      </c>
      <c r="J99" s="1" t="s">
        <v>391</v>
      </c>
      <c r="K99" s="1">
        <v>15</v>
      </c>
    </row>
    <row r="100" spans="1:11" x14ac:dyDescent="0.3">
      <c r="A100" s="1" t="s">
        <v>392</v>
      </c>
      <c r="B100" s="1" t="s">
        <v>393</v>
      </c>
      <c r="C100" s="1" t="s">
        <v>394</v>
      </c>
      <c r="D100" s="1">
        <v>1457300</v>
      </c>
      <c r="E100" s="1">
        <v>2000</v>
      </c>
      <c r="F100" s="1">
        <v>55</v>
      </c>
      <c r="G100" s="1">
        <v>62</v>
      </c>
      <c r="H100" s="1">
        <v>0.14099999999999999</v>
      </c>
      <c r="I100" s="1">
        <v>23504.84</v>
      </c>
      <c r="J100" s="1" t="s">
        <v>395</v>
      </c>
      <c r="K100" s="1">
        <v>150</v>
      </c>
    </row>
    <row r="101" spans="1:11" x14ac:dyDescent="0.3">
      <c r="A101" s="1" t="s">
        <v>396</v>
      </c>
      <c r="B101" s="1" t="s">
        <v>397</v>
      </c>
      <c r="C101" s="1" t="s">
        <v>398</v>
      </c>
      <c r="D101" s="1">
        <v>1436163</v>
      </c>
      <c r="E101" s="1">
        <v>3900</v>
      </c>
      <c r="F101" s="1">
        <v>0</v>
      </c>
      <c r="G101" s="1">
        <v>375</v>
      </c>
      <c r="H101" s="1">
        <v>0.27160000000000001</v>
      </c>
      <c r="I101" s="1">
        <v>3829.77</v>
      </c>
      <c r="J101" s="1" t="s">
        <v>399</v>
      </c>
      <c r="K101" s="1">
        <v>55</v>
      </c>
    </row>
    <row r="102" spans="1:11" x14ac:dyDescent="0.3">
      <c r="A102" s="1" t="s">
        <v>400</v>
      </c>
      <c r="B102" s="1" t="s">
        <v>401</v>
      </c>
      <c r="C102" s="1" t="s">
        <v>398</v>
      </c>
      <c r="D102" s="1">
        <v>2522570</v>
      </c>
      <c r="E102" s="1">
        <v>6000</v>
      </c>
      <c r="F102" s="1">
        <v>0</v>
      </c>
      <c r="G102" s="1">
        <v>424</v>
      </c>
      <c r="H102" s="1">
        <v>0.2379</v>
      </c>
      <c r="I102" s="1">
        <v>5949.46</v>
      </c>
      <c r="J102" s="1" t="s">
        <v>402</v>
      </c>
      <c r="K102" s="1">
        <v>56</v>
      </c>
    </row>
    <row r="103" spans="1:11" x14ac:dyDescent="0.3">
      <c r="A103" s="1" t="s">
        <v>403</v>
      </c>
      <c r="B103" s="1" t="s">
        <v>404</v>
      </c>
      <c r="C103" s="1" t="s">
        <v>405</v>
      </c>
      <c r="D103" s="1">
        <v>11331776</v>
      </c>
      <c r="E103" s="1">
        <v>60000</v>
      </c>
      <c r="F103" s="1">
        <v>1022</v>
      </c>
      <c r="G103" s="1">
        <v>224</v>
      </c>
      <c r="H103" s="1">
        <v>0.53849999999999998</v>
      </c>
      <c r="I103" s="1">
        <v>50588.29</v>
      </c>
      <c r="J103" s="1" t="s">
        <v>406</v>
      </c>
      <c r="K103" s="1">
        <v>0</v>
      </c>
    </row>
    <row r="104" spans="1:11" x14ac:dyDescent="0.3">
      <c r="A104" s="1" t="s">
        <v>407</v>
      </c>
      <c r="B104" s="1" t="s">
        <v>408</v>
      </c>
      <c r="C104" s="1" t="s">
        <v>340</v>
      </c>
      <c r="D104" s="1">
        <v>4373354</v>
      </c>
      <c r="E104" s="1">
        <v>9800</v>
      </c>
      <c r="F104" s="1">
        <v>138</v>
      </c>
      <c r="G104" s="1">
        <v>351</v>
      </c>
      <c r="H104" s="1">
        <v>0.22720000000000001</v>
      </c>
      <c r="I104" s="1">
        <v>12459.7</v>
      </c>
      <c r="J104" s="1" t="s">
        <v>409</v>
      </c>
      <c r="K104" s="1">
        <v>0</v>
      </c>
    </row>
    <row r="105" spans="1:11" x14ac:dyDescent="0.3">
      <c r="A105" s="1" t="s">
        <v>410</v>
      </c>
      <c r="B105" s="1" t="s">
        <v>411</v>
      </c>
      <c r="C105" s="1" t="s">
        <v>412</v>
      </c>
      <c r="D105" s="1">
        <v>5911400</v>
      </c>
      <c r="E105" s="1">
        <v>195000</v>
      </c>
      <c r="F105" s="1">
        <v>4726</v>
      </c>
      <c r="G105" s="1">
        <v>3428</v>
      </c>
      <c r="H105" s="1">
        <v>3.3786999999999998</v>
      </c>
      <c r="I105" s="1">
        <v>1724.45</v>
      </c>
      <c r="J105" s="1" t="s">
        <v>413</v>
      </c>
      <c r="K105" s="1">
        <v>1356</v>
      </c>
    </row>
    <row r="106" spans="1:11" x14ac:dyDescent="0.3">
      <c r="A106" s="1" t="s">
        <v>414</v>
      </c>
      <c r="B106" s="1" t="s">
        <v>415</v>
      </c>
      <c r="C106" s="1" t="s">
        <v>416</v>
      </c>
      <c r="D106" s="1">
        <v>5907217</v>
      </c>
      <c r="E106" s="1">
        <v>16000</v>
      </c>
      <c r="F106" s="1">
        <v>518</v>
      </c>
      <c r="G106" s="1">
        <v>458</v>
      </c>
      <c r="H106" s="1">
        <v>0.27960000000000002</v>
      </c>
      <c r="I106" s="1">
        <v>12897.85</v>
      </c>
      <c r="J106" s="1" t="s">
        <v>417</v>
      </c>
      <c r="K106" s="1">
        <v>0</v>
      </c>
    </row>
    <row r="107" spans="1:11" x14ac:dyDescent="0.3">
      <c r="A107" s="1" t="s">
        <v>418</v>
      </c>
      <c r="B107" s="1" t="s">
        <v>419</v>
      </c>
      <c r="C107" s="1" t="s">
        <v>420</v>
      </c>
      <c r="D107" s="1">
        <v>47538</v>
      </c>
      <c r="E107" s="1">
        <v>2700</v>
      </c>
      <c r="F107" s="1">
        <v>238</v>
      </c>
      <c r="G107" s="1">
        <v>3</v>
      </c>
      <c r="H107" s="1">
        <v>6.1802999999999999</v>
      </c>
      <c r="I107" s="1">
        <v>15846</v>
      </c>
      <c r="J107" s="1" t="s">
        <v>421</v>
      </c>
      <c r="K107" s="1">
        <v>631</v>
      </c>
    </row>
    <row r="108" spans="1:11" x14ac:dyDescent="0.3">
      <c r="A108" s="1" t="s">
        <v>422</v>
      </c>
      <c r="B108" s="1" t="s">
        <v>423</v>
      </c>
      <c r="C108" s="1" t="s">
        <v>424</v>
      </c>
      <c r="D108" s="1">
        <v>75923671</v>
      </c>
      <c r="E108" s="1">
        <v>2900000</v>
      </c>
      <c r="F108" s="1">
        <v>5493</v>
      </c>
      <c r="G108" s="1">
        <v>681</v>
      </c>
      <c r="H108" s="1">
        <v>3.8269000000000002</v>
      </c>
      <c r="I108" s="1">
        <v>111488.5</v>
      </c>
      <c r="J108" s="1" t="s">
        <v>425</v>
      </c>
      <c r="K108" s="1">
        <v>0</v>
      </c>
    </row>
    <row r="109" spans="1:11" x14ac:dyDescent="0.3">
      <c r="A109" s="1" t="s">
        <v>426</v>
      </c>
      <c r="B109" s="1" t="s">
        <v>427</v>
      </c>
      <c r="C109" s="1" t="s">
        <v>428</v>
      </c>
      <c r="D109" s="1">
        <v>38274019</v>
      </c>
      <c r="E109" s="1">
        <v>539000</v>
      </c>
      <c r="F109" s="1">
        <v>18327</v>
      </c>
      <c r="G109" s="1">
        <v>334</v>
      </c>
      <c r="H109" s="1">
        <v>1.4560999999999999</v>
      </c>
      <c r="I109" s="1">
        <v>114592.87</v>
      </c>
      <c r="J109" s="1" t="s">
        <v>429</v>
      </c>
      <c r="K109" s="1">
        <v>0</v>
      </c>
    </row>
    <row r="110" spans="1:11" x14ac:dyDescent="0.3">
      <c r="A110" s="1" t="s">
        <v>430</v>
      </c>
      <c r="B110" s="1" t="s">
        <v>431</v>
      </c>
      <c r="C110" s="1" t="s">
        <v>432</v>
      </c>
      <c r="D110" s="1">
        <v>567142</v>
      </c>
      <c r="E110" s="1">
        <v>2700</v>
      </c>
      <c r="F110" s="1">
        <v>122</v>
      </c>
      <c r="G110" s="1">
        <v>196</v>
      </c>
      <c r="H110" s="1">
        <v>0.49759999999999999</v>
      </c>
      <c r="I110" s="1">
        <v>2893.58</v>
      </c>
      <c r="J110" s="1" t="s">
        <v>433</v>
      </c>
      <c r="K110" s="1">
        <v>665</v>
      </c>
    </row>
    <row r="111" spans="1:11" x14ac:dyDescent="0.3">
      <c r="A111" s="1" t="s">
        <v>434</v>
      </c>
      <c r="B111" s="1" t="s">
        <v>435</v>
      </c>
      <c r="C111" s="1" t="s">
        <v>436</v>
      </c>
      <c r="D111" s="1">
        <v>628316</v>
      </c>
      <c r="E111" s="1">
        <v>14000</v>
      </c>
      <c r="F111" s="1">
        <v>2614</v>
      </c>
      <c r="G111" s="1">
        <v>114</v>
      </c>
      <c r="H111" s="1">
        <v>2.6442000000000001</v>
      </c>
      <c r="I111" s="1">
        <v>5511.54</v>
      </c>
      <c r="J111" s="1" t="s">
        <v>437</v>
      </c>
      <c r="K111" s="1">
        <v>705</v>
      </c>
    </row>
    <row r="112" spans="1:11" x14ac:dyDescent="0.3">
      <c r="A112" s="1" t="s">
        <v>438</v>
      </c>
      <c r="B112" s="1" t="s">
        <v>439</v>
      </c>
      <c r="C112" s="1" t="s">
        <v>21</v>
      </c>
      <c r="D112" s="1">
        <v>93725</v>
      </c>
      <c r="E112" s="1">
        <v>3900</v>
      </c>
      <c r="F112" s="1">
        <v>207</v>
      </c>
      <c r="G112" s="1">
        <v>134</v>
      </c>
      <c r="H112" s="1">
        <v>4.3819999999999997</v>
      </c>
      <c r="I112" s="1">
        <v>699.44</v>
      </c>
      <c r="J112" s="1" t="s">
        <v>440</v>
      </c>
      <c r="K112" s="1">
        <v>2032</v>
      </c>
    </row>
    <row r="113" spans="1:11" x14ac:dyDescent="0.3">
      <c r="A113" s="1" t="s">
        <v>441</v>
      </c>
      <c r="B113" s="1" t="s">
        <v>442</v>
      </c>
      <c r="C113" s="1" t="s">
        <v>443</v>
      </c>
      <c r="D113" s="1">
        <v>956619</v>
      </c>
      <c r="E113" s="1">
        <v>27000</v>
      </c>
      <c r="F113" s="1">
        <v>6672</v>
      </c>
      <c r="G113" s="1">
        <v>143</v>
      </c>
      <c r="H113" s="1">
        <v>3.5198999999999998</v>
      </c>
      <c r="I113" s="1">
        <v>6689.64</v>
      </c>
      <c r="J113" s="1" t="s">
        <v>444</v>
      </c>
      <c r="K113" s="1">
        <v>2271</v>
      </c>
    </row>
    <row r="114" spans="1:11" x14ac:dyDescent="0.3">
      <c r="A114" s="1" t="s">
        <v>445</v>
      </c>
      <c r="B114" s="1" t="s">
        <v>446</v>
      </c>
      <c r="C114" s="1" t="s">
        <v>447</v>
      </c>
      <c r="D114" s="1">
        <v>463960</v>
      </c>
      <c r="E114" s="1">
        <v>17000</v>
      </c>
      <c r="F114" s="1">
        <v>1338</v>
      </c>
      <c r="G114" s="1">
        <v>135</v>
      </c>
      <c r="H114" s="1">
        <v>3.9525000000000001</v>
      </c>
      <c r="I114" s="1">
        <v>3436.74</v>
      </c>
      <c r="J114" s="1" t="s">
        <v>448</v>
      </c>
      <c r="K114" s="1">
        <v>245</v>
      </c>
    </row>
    <row r="115" spans="1:11" x14ac:dyDescent="0.3">
      <c r="A115" s="1" t="s">
        <v>449</v>
      </c>
      <c r="B115" s="1" t="s">
        <v>450</v>
      </c>
      <c r="C115" s="1" t="s">
        <v>451</v>
      </c>
      <c r="D115" s="1">
        <v>877824</v>
      </c>
      <c r="E115" s="1">
        <v>6900</v>
      </c>
      <c r="F115" s="1">
        <v>234</v>
      </c>
      <c r="G115" s="1">
        <v>133</v>
      </c>
      <c r="H115" s="1">
        <v>0.81269999999999998</v>
      </c>
      <c r="I115" s="1">
        <v>6600.18</v>
      </c>
      <c r="J115" s="1" t="s">
        <v>452</v>
      </c>
      <c r="K115" s="1">
        <v>1441</v>
      </c>
    </row>
    <row r="116" spans="1:11" x14ac:dyDescent="0.3">
      <c r="A116" s="1" t="s">
        <v>453</v>
      </c>
      <c r="B116" s="1" t="s">
        <v>454</v>
      </c>
      <c r="C116" s="1" t="s">
        <v>447</v>
      </c>
      <c r="D116" s="1">
        <v>540723</v>
      </c>
      <c r="E116" s="1">
        <v>21000</v>
      </c>
      <c r="F116" s="1">
        <v>1747</v>
      </c>
      <c r="G116" s="1">
        <v>100</v>
      </c>
      <c r="H116" s="1">
        <v>4.2068000000000003</v>
      </c>
      <c r="I116" s="1">
        <v>5407.23</v>
      </c>
      <c r="J116" s="1" t="s">
        <v>455</v>
      </c>
      <c r="K116" s="1">
        <v>150</v>
      </c>
    </row>
    <row r="117" spans="1:11" x14ac:dyDescent="0.3">
      <c r="A117" s="1" t="s">
        <v>456</v>
      </c>
      <c r="B117" s="1" t="s">
        <v>457</v>
      </c>
      <c r="C117" s="1" t="s">
        <v>29</v>
      </c>
      <c r="D117" s="1">
        <v>310411</v>
      </c>
      <c r="E117" s="1">
        <v>3100</v>
      </c>
      <c r="F117" s="1">
        <v>213</v>
      </c>
      <c r="G117" s="1">
        <v>25</v>
      </c>
      <c r="H117" s="1">
        <v>1.0672999999999999</v>
      </c>
      <c r="I117" s="1">
        <v>12416.44</v>
      </c>
      <c r="J117" s="1" t="s">
        <v>458</v>
      </c>
      <c r="K117" s="1">
        <v>1256</v>
      </c>
    </row>
    <row r="118" spans="1:11" x14ac:dyDescent="0.3">
      <c r="A118" s="1" t="s">
        <v>459</v>
      </c>
      <c r="B118" s="1" t="s">
        <v>460</v>
      </c>
      <c r="C118" s="1" t="s">
        <v>461</v>
      </c>
      <c r="D118" s="1">
        <v>91601</v>
      </c>
      <c r="E118" s="1">
        <v>5500</v>
      </c>
      <c r="F118" s="1">
        <v>1747</v>
      </c>
      <c r="G118" s="1">
        <v>110</v>
      </c>
      <c r="H118" s="1">
        <v>7.9115000000000002</v>
      </c>
      <c r="I118" s="1">
        <v>832.74</v>
      </c>
      <c r="J118" s="1" t="s">
        <v>462</v>
      </c>
      <c r="K118" s="1">
        <v>1029</v>
      </c>
    </row>
    <row r="119" spans="1:11" x14ac:dyDescent="0.3">
      <c r="A119" s="1" t="s">
        <v>463</v>
      </c>
      <c r="B119" s="1" t="s">
        <v>464</v>
      </c>
      <c r="C119" s="1" t="s">
        <v>465</v>
      </c>
      <c r="D119" s="1">
        <v>14100613</v>
      </c>
      <c r="E119" s="1">
        <v>182000</v>
      </c>
      <c r="F119" s="1">
        <v>1027</v>
      </c>
      <c r="G119" s="1">
        <v>171</v>
      </c>
      <c r="H119" s="1">
        <v>1.298</v>
      </c>
      <c r="I119" s="1">
        <v>82459.73</v>
      </c>
      <c r="J119" s="1" t="s">
        <v>466</v>
      </c>
      <c r="K119" s="1">
        <v>700</v>
      </c>
    </row>
    <row r="120" spans="1:11" x14ac:dyDescent="0.3">
      <c r="A120" s="1" t="s">
        <v>467</v>
      </c>
      <c r="B120" s="1" t="s">
        <v>468</v>
      </c>
      <c r="C120" s="1" t="s">
        <v>469</v>
      </c>
      <c r="D120" s="1">
        <v>434653</v>
      </c>
      <c r="E120" s="1">
        <v>12000</v>
      </c>
      <c r="F120" s="1">
        <v>1139</v>
      </c>
      <c r="G120" s="1">
        <v>206</v>
      </c>
      <c r="H120" s="1">
        <v>3.0228999999999999</v>
      </c>
      <c r="I120" s="1">
        <v>2109.9699999999998</v>
      </c>
      <c r="J120" s="1" t="s">
        <v>470</v>
      </c>
      <c r="K120" s="1">
        <v>434</v>
      </c>
    </row>
    <row r="121" spans="1:11" x14ac:dyDescent="0.3">
      <c r="A121" s="1" t="s">
        <v>471</v>
      </c>
      <c r="B121" s="1" t="s">
        <v>472</v>
      </c>
      <c r="C121" s="1" t="s">
        <v>473</v>
      </c>
      <c r="D121" s="1">
        <v>3809</v>
      </c>
      <c r="E121" s="1">
        <v>535</v>
      </c>
      <c r="F121" s="1">
        <v>109</v>
      </c>
      <c r="G121" s="1">
        <v>1</v>
      </c>
      <c r="H121" s="1">
        <v>16.907299999999999</v>
      </c>
      <c r="I121" s="1">
        <v>3809</v>
      </c>
      <c r="J121" s="1" t="s">
        <v>474</v>
      </c>
      <c r="K121" s="1">
        <v>1451</v>
      </c>
    </row>
    <row r="122" spans="1:11" x14ac:dyDescent="0.3">
      <c r="A122" s="1" t="s">
        <v>475</v>
      </c>
      <c r="B122" s="1" t="s">
        <v>476</v>
      </c>
      <c r="C122" s="1" t="s">
        <v>477</v>
      </c>
      <c r="D122" s="1">
        <v>103599932</v>
      </c>
      <c r="E122" s="1">
        <v>961000</v>
      </c>
      <c r="F122" s="1">
        <v>1111</v>
      </c>
      <c r="G122" s="1">
        <v>608</v>
      </c>
      <c r="H122" s="1">
        <v>0.92869999999999997</v>
      </c>
      <c r="I122" s="1">
        <v>170394.62</v>
      </c>
      <c r="J122" s="1" t="s">
        <v>478</v>
      </c>
      <c r="K122" s="1">
        <v>0</v>
      </c>
    </row>
    <row r="123" spans="1:11" x14ac:dyDescent="0.3">
      <c r="A123" s="1" t="s">
        <v>479</v>
      </c>
      <c r="B123" s="1" t="s">
        <v>480</v>
      </c>
      <c r="C123" s="1" t="s">
        <v>481</v>
      </c>
      <c r="D123" s="1">
        <v>213392</v>
      </c>
      <c r="E123" s="1">
        <v>10000</v>
      </c>
      <c r="F123" s="1">
        <v>236</v>
      </c>
      <c r="G123" s="1">
        <v>1</v>
      </c>
      <c r="H123" s="1">
        <v>4.7968000000000002</v>
      </c>
      <c r="I123" s="1">
        <v>213392</v>
      </c>
      <c r="J123" s="1" t="s">
        <v>482</v>
      </c>
      <c r="K123" s="1">
        <v>1140</v>
      </c>
    </row>
    <row r="124" spans="1:11" x14ac:dyDescent="0.3">
      <c r="A124" s="1" t="s">
        <v>483</v>
      </c>
      <c r="B124" s="1" t="s">
        <v>484</v>
      </c>
      <c r="C124" s="1" t="s">
        <v>320</v>
      </c>
      <c r="D124" s="1">
        <v>53999211</v>
      </c>
      <c r="E124" s="1">
        <v>466000</v>
      </c>
      <c r="F124" s="1">
        <v>15901</v>
      </c>
      <c r="G124" s="1">
        <v>547</v>
      </c>
      <c r="H124" s="1">
        <v>0.89239999999999997</v>
      </c>
      <c r="I124" s="1">
        <v>98718.85</v>
      </c>
      <c r="J124" s="1" t="s">
        <v>485</v>
      </c>
      <c r="K124" s="1">
        <v>657</v>
      </c>
    </row>
    <row r="125" spans="1:11" x14ac:dyDescent="0.3">
      <c r="A125" s="1" t="s">
        <v>486</v>
      </c>
      <c r="B125" s="1" t="s">
        <v>487</v>
      </c>
      <c r="C125" s="1" t="s">
        <v>488</v>
      </c>
      <c r="D125" s="1">
        <v>44223068</v>
      </c>
      <c r="E125" s="1">
        <v>1100000</v>
      </c>
      <c r="F125" s="1">
        <v>23184</v>
      </c>
      <c r="G125" s="1">
        <v>988</v>
      </c>
      <c r="H125" s="1">
        <v>2.5398000000000001</v>
      </c>
      <c r="I125" s="1">
        <v>44760.19</v>
      </c>
      <c r="J125" s="1" t="s">
        <v>489</v>
      </c>
      <c r="K125" s="1">
        <v>0</v>
      </c>
    </row>
    <row r="126" spans="1:11" x14ac:dyDescent="0.3">
      <c r="A126" s="1" t="s">
        <v>490</v>
      </c>
      <c r="B126" s="1" t="s">
        <v>491</v>
      </c>
      <c r="C126" s="1" t="s">
        <v>447</v>
      </c>
      <c r="D126" s="1">
        <v>290663</v>
      </c>
      <c r="E126" s="1">
        <v>11000</v>
      </c>
      <c r="F126" s="1">
        <v>735</v>
      </c>
      <c r="G126" s="1">
        <v>72</v>
      </c>
      <c r="H126" s="1">
        <v>4.0373000000000001</v>
      </c>
      <c r="I126" s="1">
        <v>4036.99</v>
      </c>
      <c r="J126" s="1" t="s">
        <v>492</v>
      </c>
      <c r="K126" s="1">
        <v>302</v>
      </c>
    </row>
    <row r="127" spans="1:11" x14ac:dyDescent="0.3">
      <c r="A127" s="1" t="s">
        <v>493</v>
      </c>
      <c r="B127" s="1" t="s">
        <v>494</v>
      </c>
      <c r="C127" s="1" t="s">
        <v>114</v>
      </c>
      <c r="D127" s="1">
        <v>24985757</v>
      </c>
      <c r="E127" s="1">
        <v>1300000</v>
      </c>
      <c r="F127" s="1">
        <v>5911</v>
      </c>
      <c r="G127" s="1">
        <v>838</v>
      </c>
      <c r="H127" s="1">
        <v>5.2266000000000004</v>
      </c>
      <c r="I127" s="1">
        <v>29815.94</v>
      </c>
      <c r="J127" s="1" t="s">
        <v>495</v>
      </c>
      <c r="K127" s="1">
        <v>0</v>
      </c>
    </row>
    <row r="128" spans="1:11" x14ac:dyDescent="0.3">
      <c r="A128" s="1" t="s">
        <v>496</v>
      </c>
      <c r="B128" s="1" t="s">
        <v>497</v>
      </c>
      <c r="C128" s="1" t="s">
        <v>498</v>
      </c>
      <c r="D128" s="1">
        <v>4843209</v>
      </c>
      <c r="E128" s="1">
        <v>36000</v>
      </c>
      <c r="F128" s="1">
        <v>1329</v>
      </c>
      <c r="G128" s="1">
        <v>378</v>
      </c>
      <c r="H128" s="1">
        <v>0.77070000000000005</v>
      </c>
      <c r="I128" s="1">
        <v>12812.72</v>
      </c>
      <c r="J128" s="1" t="s">
        <v>499</v>
      </c>
      <c r="K128" s="1">
        <v>423</v>
      </c>
    </row>
    <row r="129" spans="1:11" x14ac:dyDescent="0.3">
      <c r="A129" s="1" t="s">
        <v>500</v>
      </c>
      <c r="B129" s="1" t="s">
        <v>501</v>
      </c>
      <c r="C129" s="1" t="s">
        <v>502</v>
      </c>
      <c r="D129" s="1">
        <v>22611824</v>
      </c>
      <c r="E129" s="1">
        <v>503000</v>
      </c>
      <c r="F129" s="1">
        <v>5838</v>
      </c>
      <c r="G129" s="1">
        <v>222</v>
      </c>
      <c r="H129" s="1">
        <v>2.2503000000000002</v>
      </c>
      <c r="I129" s="1">
        <v>101855.06</v>
      </c>
      <c r="J129" s="1" t="s">
        <v>503</v>
      </c>
      <c r="K129" s="1">
        <v>0</v>
      </c>
    </row>
    <row r="130" spans="1:11" x14ac:dyDescent="0.3">
      <c r="A130" s="1" t="s">
        <v>504</v>
      </c>
      <c r="B130" s="1" t="s">
        <v>505</v>
      </c>
      <c r="C130" s="1" t="s">
        <v>506</v>
      </c>
      <c r="D130" s="1">
        <v>692203</v>
      </c>
      <c r="E130" s="1">
        <v>33000</v>
      </c>
      <c r="F130" s="1">
        <v>3771</v>
      </c>
      <c r="G130" s="1">
        <v>57</v>
      </c>
      <c r="H130" s="1">
        <v>5.3121999999999998</v>
      </c>
      <c r="I130" s="1">
        <v>12143.91</v>
      </c>
      <c r="J130" s="1" t="s">
        <v>507</v>
      </c>
      <c r="K130" s="1">
        <v>2833</v>
      </c>
    </row>
    <row r="131" spans="1:11" x14ac:dyDescent="0.3">
      <c r="A131" s="1" t="s">
        <v>508</v>
      </c>
      <c r="B131" s="1" t="s">
        <v>509</v>
      </c>
      <c r="C131" s="1" t="s">
        <v>383</v>
      </c>
      <c r="D131" s="1">
        <v>54567</v>
      </c>
      <c r="E131" s="1">
        <v>296</v>
      </c>
      <c r="F131" s="1">
        <v>8</v>
      </c>
      <c r="G131" s="1">
        <v>170</v>
      </c>
      <c r="H131" s="1">
        <v>0.55710000000000004</v>
      </c>
      <c r="I131" s="1">
        <v>320.98</v>
      </c>
      <c r="J131" s="1" t="s">
        <v>510</v>
      </c>
      <c r="K131" s="1">
        <v>0</v>
      </c>
    </row>
    <row r="132" spans="1:11" x14ac:dyDescent="0.3">
      <c r="A132" s="1" t="s">
        <v>511</v>
      </c>
      <c r="B132" s="1" t="s">
        <v>512</v>
      </c>
      <c r="C132" s="1" t="s">
        <v>513</v>
      </c>
      <c r="D132" s="1">
        <v>123651</v>
      </c>
      <c r="E132" s="1">
        <v>5400</v>
      </c>
      <c r="F132" s="1">
        <v>1897</v>
      </c>
      <c r="G132" s="1">
        <v>62</v>
      </c>
      <c r="H132" s="1">
        <v>5.9013</v>
      </c>
      <c r="I132" s="1">
        <v>1994.37</v>
      </c>
      <c r="J132" s="1" t="s">
        <v>514</v>
      </c>
      <c r="K132" s="1">
        <v>4216</v>
      </c>
    </row>
    <row r="133" spans="1:11" x14ac:dyDescent="0.3">
      <c r="A133" s="1" t="s">
        <v>515</v>
      </c>
      <c r="B133" s="1" t="s">
        <v>516</v>
      </c>
      <c r="C133" s="1" t="s">
        <v>517</v>
      </c>
      <c r="D133" s="1">
        <v>5807617</v>
      </c>
      <c r="E133" s="1">
        <v>10000</v>
      </c>
      <c r="F133" s="1">
        <v>141</v>
      </c>
      <c r="G133" s="1">
        <v>217</v>
      </c>
      <c r="H133" s="1">
        <v>0.17460000000000001</v>
      </c>
      <c r="I133" s="1">
        <v>26763.21</v>
      </c>
      <c r="J133" s="1" t="s">
        <v>518</v>
      </c>
      <c r="K133" s="1">
        <v>39</v>
      </c>
    </row>
    <row r="134" spans="1:11" x14ac:dyDescent="0.3">
      <c r="A134" s="1" t="s">
        <v>519</v>
      </c>
      <c r="B134" s="1" t="s">
        <v>520</v>
      </c>
      <c r="C134" s="1" t="s">
        <v>521</v>
      </c>
      <c r="D134" s="1">
        <v>3419857</v>
      </c>
      <c r="E134" s="1">
        <v>14000</v>
      </c>
      <c r="F134" s="1">
        <v>450</v>
      </c>
      <c r="G134" s="1">
        <v>78</v>
      </c>
      <c r="H134" s="1">
        <v>0.42249999999999999</v>
      </c>
      <c r="I134" s="1">
        <v>43844.32</v>
      </c>
      <c r="J134" s="1" t="s">
        <v>522</v>
      </c>
      <c r="K134" s="1">
        <v>432</v>
      </c>
    </row>
    <row r="135" spans="1:11" x14ac:dyDescent="0.3">
      <c r="A135" s="1" t="s">
        <v>523</v>
      </c>
      <c r="B135" s="1" t="s">
        <v>524</v>
      </c>
      <c r="C135" s="1" t="s">
        <v>525</v>
      </c>
      <c r="D135" s="1">
        <v>125527</v>
      </c>
      <c r="E135" s="1">
        <v>1400</v>
      </c>
      <c r="F135" s="1">
        <v>56</v>
      </c>
      <c r="G135" s="1">
        <v>50</v>
      </c>
      <c r="H135" s="1">
        <v>1.1598999999999999</v>
      </c>
      <c r="I135" s="1">
        <v>2510.54</v>
      </c>
      <c r="J135" s="1" t="s">
        <v>526</v>
      </c>
      <c r="K135" s="1">
        <v>710</v>
      </c>
    </row>
    <row r="136" spans="1:11" x14ac:dyDescent="0.3">
      <c r="A136" s="1" t="s">
        <v>527</v>
      </c>
      <c r="B136" s="1" t="s">
        <v>528</v>
      </c>
      <c r="C136" s="1" t="s">
        <v>340</v>
      </c>
      <c r="D136" s="1">
        <v>782329</v>
      </c>
      <c r="E136" s="1">
        <v>977</v>
      </c>
      <c r="F136" s="1">
        <v>38</v>
      </c>
      <c r="G136" s="1">
        <v>126</v>
      </c>
      <c r="H136" s="1">
        <v>0.12970000000000001</v>
      </c>
      <c r="I136" s="1">
        <v>6208.96</v>
      </c>
      <c r="J136" s="1" t="s">
        <v>529</v>
      </c>
      <c r="K136" s="1">
        <v>0</v>
      </c>
    </row>
    <row r="137" spans="1:11" x14ac:dyDescent="0.3">
      <c r="A137" s="1" t="s">
        <v>530</v>
      </c>
      <c r="B137" s="1" t="s">
        <v>531</v>
      </c>
      <c r="C137" s="1" t="s">
        <v>383</v>
      </c>
      <c r="D137" s="1">
        <v>1346019</v>
      </c>
      <c r="E137" s="1">
        <v>3800</v>
      </c>
      <c r="F137" s="1">
        <v>61</v>
      </c>
      <c r="G137" s="1">
        <v>306</v>
      </c>
      <c r="H137" s="1">
        <v>0.2868</v>
      </c>
      <c r="I137" s="1">
        <v>4398.75</v>
      </c>
      <c r="J137" s="1" t="s">
        <v>532</v>
      </c>
      <c r="K137" s="1">
        <v>0</v>
      </c>
    </row>
    <row r="138" spans="1:11" x14ac:dyDescent="0.3">
      <c r="A138" s="1" t="s">
        <v>533</v>
      </c>
      <c r="B138" s="1" t="s">
        <v>534</v>
      </c>
      <c r="C138" s="1" t="s">
        <v>535</v>
      </c>
      <c r="D138" s="1">
        <v>425972</v>
      </c>
      <c r="E138" s="1">
        <v>17000</v>
      </c>
      <c r="F138" s="1">
        <v>4257</v>
      </c>
      <c r="G138" s="1">
        <v>128</v>
      </c>
      <c r="H138" s="1">
        <v>4.9901999999999997</v>
      </c>
      <c r="I138" s="1">
        <v>3327.91</v>
      </c>
      <c r="J138" s="1" t="s">
        <v>536</v>
      </c>
      <c r="K138" s="1">
        <v>3463</v>
      </c>
    </row>
    <row r="139" spans="1:11" x14ac:dyDescent="0.3">
      <c r="A139" s="1" t="s">
        <v>537</v>
      </c>
      <c r="B139" s="1" t="s">
        <v>538</v>
      </c>
      <c r="C139" s="1" t="s">
        <v>539</v>
      </c>
      <c r="D139" s="1">
        <v>1836201</v>
      </c>
      <c r="E139" s="1">
        <v>64000</v>
      </c>
      <c r="F139" s="1">
        <v>4059</v>
      </c>
      <c r="G139" s="1">
        <v>461</v>
      </c>
      <c r="H139" s="1">
        <v>3.7065000000000001</v>
      </c>
      <c r="I139" s="1">
        <v>3983.08</v>
      </c>
      <c r="J139" s="1" t="s">
        <v>540</v>
      </c>
      <c r="K139" s="1">
        <v>602</v>
      </c>
    </row>
    <row r="140" spans="1:11" x14ac:dyDescent="0.3">
      <c r="A140" s="1" t="s">
        <v>541</v>
      </c>
      <c r="B140" s="1" t="s">
        <v>542</v>
      </c>
      <c r="C140" s="1" t="s">
        <v>340</v>
      </c>
      <c r="D140" s="1">
        <v>13332121</v>
      </c>
      <c r="E140" s="1">
        <v>31000</v>
      </c>
      <c r="F140" s="1">
        <v>0</v>
      </c>
      <c r="G140" s="1">
        <v>442</v>
      </c>
      <c r="H140" s="1">
        <v>0.23250000000000001</v>
      </c>
      <c r="I140" s="1">
        <v>30163.17</v>
      </c>
      <c r="J140" s="1" t="s">
        <v>543</v>
      </c>
      <c r="K140" s="1">
        <v>0</v>
      </c>
    </row>
    <row r="141" spans="1:11" x14ac:dyDescent="0.3">
      <c r="A141" s="1" t="s">
        <v>544</v>
      </c>
      <c r="B141" s="1" t="s">
        <v>545</v>
      </c>
      <c r="C141" s="1" t="s">
        <v>443</v>
      </c>
      <c r="D141" s="1">
        <v>682954</v>
      </c>
      <c r="E141" s="1">
        <v>18000</v>
      </c>
      <c r="F141" s="1">
        <v>2913</v>
      </c>
      <c r="G141" s="1">
        <v>146</v>
      </c>
      <c r="H141" s="1">
        <v>3.0621</v>
      </c>
      <c r="I141" s="1">
        <v>4677.7700000000004</v>
      </c>
      <c r="J141" s="1" t="s">
        <v>546</v>
      </c>
      <c r="K141" s="1">
        <v>3291</v>
      </c>
    </row>
    <row r="142" spans="1:11" x14ac:dyDescent="0.3">
      <c r="A142" s="1" t="s">
        <v>547</v>
      </c>
      <c r="B142" s="1" t="s">
        <v>548</v>
      </c>
      <c r="C142" s="1" t="s">
        <v>549</v>
      </c>
      <c r="D142" s="1">
        <v>290062</v>
      </c>
      <c r="E142" s="1">
        <v>12000</v>
      </c>
      <c r="F142" s="1">
        <v>745</v>
      </c>
      <c r="G142" s="1">
        <v>56</v>
      </c>
      <c r="H142" s="1">
        <v>4.3939000000000004</v>
      </c>
      <c r="I142" s="1">
        <v>5179.68</v>
      </c>
      <c r="J142" s="1" t="s">
        <v>550</v>
      </c>
      <c r="K142" s="1">
        <v>789</v>
      </c>
    </row>
    <row r="143" spans="1:11" x14ac:dyDescent="0.3">
      <c r="A143" s="1" t="s">
        <v>551</v>
      </c>
      <c r="B143" s="1" t="s">
        <v>552</v>
      </c>
      <c r="C143" s="1" t="s">
        <v>553</v>
      </c>
      <c r="D143" s="1">
        <v>521975</v>
      </c>
      <c r="E143" s="1">
        <v>2400</v>
      </c>
      <c r="F143" s="1">
        <v>199</v>
      </c>
      <c r="G143" s="1">
        <v>75</v>
      </c>
      <c r="H143" s="1">
        <v>0.49790000000000001</v>
      </c>
      <c r="I143" s="1">
        <v>6959.67</v>
      </c>
      <c r="J143" s="1" t="s">
        <v>554</v>
      </c>
      <c r="K143" s="1">
        <v>1255</v>
      </c>
    </row>
    <row r="144" spans="1:11" x14ac:dyDescent="0.3">
      <c r="A144" s="1" t="s">
        <v>555</v>
      </c>
      <c r="B144" s="1" t="s">
        <v>556</v>
      </c>
      <c r="C144" s="1" t="s">
        <v>557</v>
      </c>
      <c r="D144" s="1">
        <v>1919497</v>
      </c>
      <c r="E144" s="1">
        <v>2400</v>
      </c>
      <c r="F144" s="1">
        <v>24</v>
      </c>
      <c r="G144" s="1">
        <v>188</v>
      </c>
      <c r="H144" s="1">
        <v>0.1263</v>
      </c>
      <c r="I144" s="1">
        <v>10210.09</v>
      </c>
      <c r="J144" s="1" t="s">
        <v>558</v>
      </c>
      <c r="K144" s="1">
        <v>103</v>
      </c>
    </row>
    <row r="145" spans="1:11" x14ac:dyDescent="0.3">
      <c r="A145" s="1" t="s">
        <v>559</v>
      </c>
      <c r="B145" s="1" t="s">
        <v>560</v>
      </c>
      <c r="C145" s="1" t="s">
        <v>188</v>
      </c>
      <c r="D145" s="1">
        <v>2725173</v>
      </c>
      <c r="E145" s="1">
        <v>8800</v>
      </c>
      <c r="F145" s="1">
        <v>225</v>
      </c>
      <c r="G145" s="1">
        <v>171</v>
      </c>
      <c r="H145" s="1">
        <v>0.33119999999999999</v>
      </c>
      <c r="I145" s="1">
        <v>15936.68</v>
      </c>
      <c r="J145" s="1" t="s">
        <v>561</v>
      </c>
      <c r="K145" s="1">
        <v>31</v>
      </c>
    </row>
    <row r="146" spans="1:11" x14ac:dyDescent="0.3">
      <c r="A146" s="1" t="s">
        <v>562</v>
      </c>
      <c r="B146" s="1" t="s">
        <v>563</v>
      </c>
      <c r="C146" s="1" t="s">
        <v>513</v>
      </c>
      <c r="D146" s="1">
        <v>86574</v>
      </c>
      <c r="E146" s="1">
        <v>3300</v>
      </c>
      <c r="F146" s="1">
        <v>796</v>
      </c>
      <c r="G146" s="1">
        <v>91</v>
      </c>
      <c r="H146" s="1">
        <v>4.7312000000000003</v>
      </c>
      <c r="I146" s="1">
        <v>951.36</v>
      </c>
      <c r="J146" s="1" t="s">
        <v>564</v>
      </c>
      <c r="K146" s="1">
        <v>4144</v>
      </c>
    </row>
    <row r="147" spans="1:11" x14ac:dyDescent="0.3">
      <c r="A147" s="1" t="s">
        <v>565</v>
      </c>
      <c r="B147" s="1" t="s">
        <v>566</v>
      </c>
      <c r="C147" s="1" t="s">
        <v>567</v>
      </c>
      <c r="D147" s="1">
        <v>2145313</v>
      </c>
      <c r="E147" s="1">
        <v>65000</v>
      </c>
      <c r="F147" s="1">
        <v>17254</v>
      </c>
      <c r="G147" s="1">
        <v>239</v>
      </c>
      <c r="H147" s="1">
        <v>3.8340999999999998</v>
      </c>
      <c r="I147" s="1">
        <v>8976.2099999999991</v>
      </c>
      <c r="J147" s="1" t="s">
        <v>568</v>
      </c>
      <c r="K147" s="1">
        <v>610</v>
      </c>
    </row>
    <row r="148" spans="1:11" x14ac:dyDescent="0.3">
      <c r="A148" s="1" t="s">
        <v>569</v>
      </c>
      <c r="B148" s="1" t="s">
        <v>570</v>
      </c>
      <c r="C148" s="1" t="s">
        <v>571</v>
      </c>
      <c r="D148" s="1">
        <v>88976543</v>
      </c>
      <c r="E148" s="1">
        <v>52000</v>
      </c>
      <c r="F148" s="1">
        <v>987</v>
      </c>
      <c r="G148" s="1">
        <v>147</v>
      </c>
      <c r="H148" s="1">
        <v>5.96E-2</v>
      </c>
      <c r="I148" s="1">
        <v>605282.61</v>
      </c>
      <c r="J148" s="1" t="s">
        <v>572</v>
      </c>
      <c r="K148" s="1">
        <v>1814</v>
      </c>
    </row>
    <row r="149" spans="1:11" x14ac:dyDescent="0.3">
      <c r="A149" s="1" t="s">
        <v>573</v>
      </c>
      <c r="B149" s="1" t="s">
        <v>574</v>
      </c>
      <c r="C149" s="1" t="s">
        <v>575</v>
      </c>
      <c r="D149" s="1">
        <v>779592</v>
      </c>
      <c r="E149" s="1">
        <v>1500</v>
      </c>
      <c r="F149" s="1">
        <v>21</v>
      </c>
      <c r="G149" s="1">
        <v>193</v>
      </c>
      <c r="H149" s="1">
        <v>0.1951</v>
      </c>
      <c r="I149" s="1">
        <v>4039.34</v>
      </c>
      <c r="J149" s="1" t="s">
        <v>576</v>
      </c>
      <c r="K149" s="1">
        <v>239</v>
      </c>
    </row>
    <row r="150" spans="1:11" x14ac:dyDescent="0.3">
      <c r="A150" s="1" t="s">
        <v>577</v>
      </c>
      <c r="B150" s="1" t="s">
        <v>578</v>
      </c>
      <c r="C150" s="1" t="s">
        <v>383</v>
      </c>
      <c r="D150" s="1">
        <v>13630</v>
      </c>
      <c r="E150" s="1">
        <v>127</v>
      </c>
      <c r="F150" s="1">
        <v>15</v>
      </c>
      <c r="G150" s="1">
        <v>167</v>
      </c>
      <c r="H150" s="1">
        <v>1.0418000000000001</v>
      </c>
      <c r="I150" s="1">
        <v>81.62</v>
      </c>
      <c r="J150" s="1" t="s">
        <v>579</v>
      </c>
      <c r="K150" s="1">
        <v>0</v>
      </c>
    </row>
    <row r="151" spans="1:11" x14ac:dyDescent="0.3">
      <c r="A151" s="1" t="s">
        <v>580</v>
      </c>
      <c r="B151" s="1" t="s">
        <v>581</v>
      </c>
      <c r="C151" s="1" t="s">
        <v>582</v>
      </c>
      <c r="D151" s="1">
        <v>127156155</v>
      </c>
      <c r="E151" s="1">
        <v>297000</v>
      </c>
      <c r="F151" s="1">
        <v>2076</v>
      </c>
      <c r="G151" s="1">
        <v>796</v>
      </c>
      <c r="H151" s="1">
        <v>0.23519999999999999</v>
      </c>
      <c r="I151" s="1">
        <v>159743.91</v>
      </c>
      <c r="J151" s="1" t="s">
        <v>583</v>
      </c>
      <c r="K151" s="1">
        <v>750</v>
      </c>
    </row>
    <row r="152" spans="1:11" x14ac:dyDescent="0.3">
      <c r="A152" s="1" t="s">
        <v>584</v>
      </c>
      <c r="B152" s="1" t="s">
        <v>585</v>
      </c>
      <c r="C152" s="1" t="s">
        <v>535</v>
      </c>
      <c r="D152" s="1">
        <v>111839</v>
      </c>
      <c r="E152" s="1">
        <v>4200</v>
      </c>
      <c r="F152" s="1">
        <v>1551</v>
      </c>
      <c r="G152" s="1">
        <v>141</v>
      </c>
      <c r="H152" s="1">
        <v>5.1421999999999999</v>
      </c>
      <c r="I152" s="1">
        <v>793.18</v>
      </c>
      <c r="J152" s="1" t="s">
        <v>586</v>
      </c>
      <c r="K152" s="1">
        <v>3197</v>
      </c>
    </row>
    <row r="153" spans="1:11" x14ac:dyDescent="0.3">
      <c r="A153" s="1" t="s">
        <v>587</v>
      </c>
      <c r="B153" s="1" t="s">
        <v>588</v>
      </c>
      <c r="C153" s="1" t="s">
        <v>525</v>
      </c>
      <c r="D153" s="1">
        <v>113905</v>
      </c>
      <c r="E153" s="1">
        <v>1400</v>
      </c>
      <c r="F153" s="1">
        <v>43</v>
      </c>
      <c r="G153" s="1">
        <v>67</v>
      </c>
      <c r="H153" s="1">
        <v>1.2667999999999999</v>
      </c>
      <c r="I153" s="1">
        <v>1700.07</v>
      </c>
      <c r="J153" s="1" t="s">
        <v>589</v>
      </c>
      <c r="K153" s="1">
        <v>696</v>
      </c>
    </row>
    <row r="154" spans="1:11" x14ac:dyDescent="0.3">
      <c r="A154" s="1" t="s">
        <v>590</v>
      </c>
      <c r="B154" s="1" t="s">
        <v>591</v>
      </c>
      <c r="C154" s="1" t="s">
        <v>567</v>
      </c>
      <c r="D154" s="1">
        <v>81277</v>
      </c>
      <c r="E154" s="1">
        <v>2800</v>
      </c>
      <c r="F154" s="1">
        <v>833</v>
      </c>
      <c r="G154" s="1">
        <v>72</v>
      </c>
      <c r="H154" s="1">
        <v>4.4699</v>
      </c>
      <c r="I154" s="1">
        <v>1128.8499999999999</v>
      </c>
      <c r="J154" s="1" t="s">
        <v>592</v>
      </c>
      <c r="K154" s="1">
        <v>608</v>
      </c>
    </row>
    <row r="155" spans="1:11" x14ac:dyDescent="0.3">
      <c r="A155" s="1" t="s">
        <v>593</v>
      </c>
      <c r="B155" s="1" t="s">
        <v>594</v>
      </c>
      <c r="C155" s="1" t="s">
        <v>595</v>
      </c>
      <c r="D155" s="1">
        <v>374388</v>
      </c>
      <c r="E155" s="1">
        <v>11000</v>
      </c>
      <c r="F155" s="1">
        <v>1516</v>
      </c>
      <c r="G155" s="1">
        <v>80</v>
      </c>
      <c r="H155" s="1">
        <v>3.3431000000000002</v>
      </c>
      <c r="I155" s="1">
        <v>4679.8500000000004</v>
      </c>
      <c r="J155" s="1" t="s">
        <v>596</v>
      </c>
      <c r="K155" s="1">
        <v>329</v>
      </c>
    </row>
    <row r="156" spans="1:11" x14ac:dyDescent="0.3">
      <c r="A156" s="1" t="s">
        <v>597</v>
      </c>
      <c r="B156" s="1" t="s">
        <v>598</v>
      </c>
      <c r="C156" s="1" t="s">
        <v>599</v>
      </c>
      <c r="D156" s="1">
        <v>3368305</v>
      </c>
      <c r="E156" s="1">
        <v>13000</v>
      </c>
      <c r="F156" s="1">
        <v>638</v>
      </c>
      <c r="G156" s="1">
        <v>299</v>
      </c>
      <c r="H156" s="1">
        <v>0.40489999999999998</v>
      </c>
      <c r="I156" s="1">
        <v>11265.23</v>
      </c>
      <c r="J156" s="1" t="s">
        <v>600</v>
      </c>
      <c r="K156" s="1">
        <v>2188</v>
      </c>
    </row>
    <row r="157" spans="1:11" x14ac:dyDescent="0.3">
      <c r="A157" s="1" t="s">
        <v>601</v>
      </c>
      <c r="B157" s="1" t="s">
        <v>602</v>
      </c>
      <c r="C157" s="1" t="s">
        <v>603</v>
      </c>
      <c r="D157" s="1">
        <v>4214638</v>
      </c>
      <c r="E157" s="1">
        <v>3200</v>
      </c>
      <c r="F157" s="1">
        <v>51</v>
      </c>
      <c r="G157" s="1">
        <v>105</v>
      </c>
      <c r="H157" s="1">
        <v>7.7100000000000002E-2</v>
      </c>
      <c r="I157" s="1">
        <v>40139.410000000003</v>
      </c>
      <c r="J157" s="1" t="s">
        <v>604</v>
      </c>
      <c r="K157" s="1">
        <v>4872</v>
      </c>
    </row>
    <row r="158" spans="1:11" x14ac:dyDescent="0.3">
      <c r="A158" s="1" t="s">
        <v>605</v>
      </c>
      <c r="B158" s="1" t="s">
        <v>606</v>
      </c>
      <c r="C158" s="1" t="s">
        <v>607</v>
      </c>
      <c r="D158" s="1">
        <v>13452</v>
      </c>
      <c r="E158" s="1">
        <v>733</v>
      </c>
      <c r="F158" s="1">
        <v>135</v>
      </c>
      <c r="G158" s="1">
        <v>26</v>
      </c>
      <c r="H158" s="1">
        <v>6.4526000000000003</v>
      </c>
      <c r="I158" s="1">
        <v>517.38</v>
      </c>
      <c r="J158" s="1" t="s">
        <v>608</v>
      </c>
      <c r="K158" s="1">
        <v>1408</v>
      </c>
    </row>
    <row r="159" spans="1:11" x14ac:dyDescent="0.3">
      <c r="A159" s="1" t="s">
        <v>609</v>
      </c>
      <c r="B159" s="1" t="s">
        <v>610</v>
      </c>
      <c r="C159" s="1" t="s">
        <v>611</v>
      </c>
      <c r="D159" s="1">
        <v>600018</v>
      </c>
      <c r="E159" s="1">
        <v>3600</v>
      </c>
      <c r="F159" s="1">
        <v>146</v>
      </c>
      <c r="G159" s="1">
        <v>14</v>
      </c>
      <c r="H159" s="1">
        <v>0.62429999999999997</v>
      </c>
      <c r="I159" s="1">
        <v>42858.43</v>
      </c>
      <c r="J159" s="1" t="s">
        <v>612</v>
      </c>
      <c r="K159" s="1">
        <v>2374</v>
      </c>
    </row>
    <row r="160" spans="1:11" x14ac:dyDescent="0.3">
      <c r="A160" s="1" t="s">
        <v>613</v>
      </c>
      <c r="B160" s="1" t="s">
        <v>614</v>
      </c>
      <c r="C160" s="1" t="s">
        <v>62</v>
      </c>
      <c r="D160" s="1">
        <v>123607</v>
      </c>
      <c r="E160" s="1">
        <v>7300</v>
      </c>
      <c r="F160" s="1">
        <v>512</v>
      </c>
      <c r="G160" s="1">
        <v>154</v>
      </c>
      <c r="H160" s="1">
        <v>6.32</v>
      </c>
      <c r="I160" s="1">
        <v>802.64</v>
      </c>
      <c r="J160" s="1" t="s">
        <v>615</v>
      </c>
      <c r="K160" s="1">
        <v>761</v>
      </c>
    </row>
    <row r="161" spans="1:11" x14ac:dyDescent="0.3">
      <c r="A161" s="1" t="s">
        <v>616</v>
      </c>
      <c r="B161" s="1" t="s">
        <v>617</v>
      </c>
      <c r="C161" s="1" t="s">
        <v>618</v>
      </c>
      <c r="D161" s="1">
        <v>17213047</v>
      </c>
      <c r="E161" s="1">
        <v>522000</v>
      </c>
      <c r="F161" s="1">
        <v>11445</v>
      </c>
      <c r="G161" s="1">
        <v>980</v>
      </c>
      <c r="H161" s="1">
        <v>3.0991</v>
      </c>
      <c r="I161" s="1">
        <v>17564.330000000002</v>
      </c>
      <c r="J161" s="1" t="s">
        <v>619</v>
      </c>
      <c r="K161" s="1">
        <v>860</v>
      </c>
    </row>
    <row r="162" spans="1:11" x14ac:dyDescent="0.3">
      <c r="A162" s="1" t="s">
        <v>620</v>
      </c>
      <c r="B162" s="1" t="s">
        <v>621</v>
      </c>
      <c r="C162" s="1" t="s">
        <v>622</v>
      </c>
      <c r="D162" s="1">
        <v>58326695</v>
      </c>
      <c r="E162" s="1">
        <v>190000</v>
      </c>
      <c r="F162" s="1">
        <v>0</v>
      </c>
      <c r="G162" s="1">
        <v>854</v>
      </c>
      <c r="H162" s="1">
        <v>0.32579999999999998</v>
      </c>
      <c r="I162" s="1">
        <v>68298.240000000005</v>
      </c>
      <c r="J162" s="1" t="s">
        <v>623</v>
      </c>
      <c r="K162" s="1">
        <v>134</v>
      </c>
    </row>
    <row r="163" spans="1:11" x14ac:dyDescent="0.3">
      <c r="A163" s="1" t="s">
        <v>624</v>
      </c>
      <c r="B163" s="1" t="s">
        <v>625</v>
      </c>
      <c r="C163" s="1" t="s">
        <v>626</v>
      </c>
      <c r="D163" s="1">
        <v>68374</v>
      </c>
      <c r="E163" s="1">
        <v>1900</v>
      </c>
      <c r="F163" s="1">
        <v>823</v>
      </c>
      <c r="G163" s="1">
        <v>46</v>
      </c>
      <c r="H163" s="1">
        <v>3.9824999999999999</v>
      </c>
      <c r="I163" s="1">
        <v>1486.39</v>
      </c>
      <c r="J163" s="1" t="s">
        <v>627</v>
      </c>
      <c r="K163" s="1">
        <v>2957</v>
      </c>
    </row>
    <row r="164" spans="1:11" x14ac:dyDescent="0.3">
      <c r="A164" s="1" t="s">
        <v>628</v>
      </c>
      <c r="B164" s="1" t="s">
        <v>629</v>
      </c>
      <c r="C164" s="1" t="s">
        <v>630</v>
      </c>
      <c r="D164" s="1">
        <v>4003077</v>
      </c>
      <c r="E164" s="1">
        <v>27000</v>
      </c>
      <c r="F164" s="1">
        <v>1952</v>
      </c>
      <c r="G164" s="1">
        <v>559</v>
      </c>
      <c r="H164" s="1">
        <v>0.72319999999999995</v>
      </c>
      <c r="I164" s="1">
        <v>7161.14</v>
      </c>
      <c r="J164" s="1" t="s">
        <v>631</v>
      </c>
      <c r="K164" s="1">
        <v>211</v>
      </c>
    </row>
    <row r="165" spans="1:11" x14ac:dyDescent="0.3">
      <c r="A165" s="1" t="s">
        <v>632</v>
      </c>
      <c r="B165" s="1" t="s">
        <v>633</v>
      </c>
      <c r="C165" s="1" t="s">
        <v>634</v>
      </c>
      <c r="D165" s="1">
        <v>383154</v>
      </c>
      <c r="E165" s="1">
        <v>5100</v>
      </c>
      <c r="F165" s="1">
        <v>670</v>
      </c>
      <c r="G165" s="1">
        <v>146</v>
      </c>
      <c r="H165" s="1">
        <v>1.5059</v>
      </c>
      <c r="I165" s="1">
        <v>2624.34</v>
      </c>
      <c r="J165" s="1" t="s">
        <v>635</v>
      </c>
      <c r="K165" s="1">
        <v>652</v>
      </c>
    </row>
    <row r="166" spans="1:11" x14ac:dyDescent="0.3">
      <c r="A166" s="1" t="s">
        <v>636</v>
      </c>
      <c r="B166" s="1" t="s">
        <v>637</v>
      </c>
      <c r="C166" s="1" t="s">
        <v>638</v>
      </c>
      <c r="D166" s="1">
        <v>518218</v>
      </c>
      <c r="E166" s="1">
        <v>3900</v>
      </c>
      <c r="F166" s="1">
        <v>1032</v>
      </c>
      <c r="G166" s="1">
        <v>22</v>
      </c>
      <c r="H166" s="1">
        <v>0.95169999999999999</v>
      </c>
      <c r="I166" s="1">
        <v>23555.360000000001</v>
      </c>
      <c r="J166" s="1" t="s">
        <v>639</v>
      </c>
      <c r="K166" s="1">
        <v>228</v>
      </c>
    </row>
    <row r="167" spans="1:11" x14ac:dyDescent="0.3">
      <c r="A167" s="1" t="s">
        <v>640</v>
      </c>
      <c r="B167" s="1" t="s">
        <v>641</v>
      </c>
      <c r="C167" s="1" t="s">
        <v>642</v>
      </c>
      <c r="D167" s="1">
        <v>11854330</v>
      </c>
      <c r="E167" s="1">
        <v>58000</v>
      </c>
      <c r="F167" s="1">
        <v>3334</v>
      </c>
      <c r="G167" s="1">
        <v>855</v>
      </c>
      <c r="H167" s="1">
        <v>0.51739999999999997</v>
      </c>
      <c r="I167" s="1">
        <v>13864.71</v>
      </c>
      <c r="J167" s="1" t="s">
        <v>643</v>
      </c>
      <c r="K167" s="1">
        <v>325</v>
      </c>
    </row>
    <row r="168" spans="1:11" x14ac:dyDescent="0.3">
      <c r="A168" s="1" t="s">
        <v>644</v>
      </c>
      <c r="B168" s="1" t="s">
        <v>645</v>
      </c>
      <c r="C168" s="1" t="s">
        <v>642</v>
      </c>
      <c r="D168" s="1">
        <v>6259832</v>
      </c>
      <c r="E168" s="1">
        <v>35000</v>
      </c>
      <c r="F168" s="1">
        <v>2270</v>
      </c>
      <c r="G168" s="1">
        <v>522</v>
      </c>
      <c r="H168" s="1">
        <v>0.59540000000000004</v>
      </c>
      <c r="I168" s="1">
        <v>11992.02</v>
      </c>
      <c r="J168" s="1" t="s">
        <v>646</v>
      </c>
      <c r="K168" s="1">
        <v>362</v>
      </c>
    </row>
    <row r="169" spans="1:11" x14ac:dyDescent="0.3">
      <c r="A169" s="1" t="s">
        <v>647</v>
      </c>
      <c r="B169" s="1" t="s">
        <v>648</v>
      </c>
      <c r="C169" s="1" t="s">
        <v>649</v>
      </c>
      <c r="D169" s="1">
        <v>2476980</v>
      </c>
      <c r="E169" s="1">
        <v>13000</v>
      </c>
      <c r="F169" s="1">
        <v>1009</v>
      </c>
      <c r="G169" s="1">
        <v>75</v>
      </c>
      <c r="H169" s="1">
        <v>0.56559999999999999</v>
      </c>
      <c r="I169" s="1">
        <v>33026.400000000001</v>
      </c>
      <c r="J169" s="1" t="s">
        <v>650</v>
      </c>
      <c r="K169" s="1">
        <v>2010</v>
      </c>
    </row>
    <row r="170" spans="1:11" x14ac:dyDescent="0.3">
      <c r="A170" s="1" t="s">
        <v>651</v>
      </c>
      <c r="B170" s="1" t="s">
        <v>652</v>
      </c>
      <c r="C170" s="1" t="s">
        <v>653</v>
      </c>
      <c r="D170" s="1">
        <v>2698801</v>
      </c>
      <c r="E170" s="1">
        <v>13000</v>
      </c>
      <c r="F170" s="1">
        <v>802</v>
      </c>
      <c r="G170" s="1">
        <v>69</v>
      </c>
      <c r="H170" s="1">
        <v>0.51139999999999997</v>
      </c>
      <c r="I170" s="1">
        <v>39113.06</v>
      </c>
      <c r="J170" s="1" t="s">
        <v>654</v>
      </c>
      <c r="K170" s="1">
        <v>2537</v>
      </c>
    </row>
    <row r="171" spans="1:11" x14ac:dyDescent="0.3">
      <c r="A171" s="1" t="s">
        <v>655</v>
      </c>
      <c r="B171" s="1" t="s">
        <v>656</v>
      </c>
      <c r="C171" s="1" t="s">
        <v>599</v>
      </c>
      <c r="D171" s="1">
        <v>4933966</v>
      </c>
      <c r="E171" s="1">
        <v>19000</v>
      </c>
      <c r="F171" s="1">
        <v>509</v>
      </c>
      <c r="G171" s="1">
        <v>270</v>
      </c>
      <c r="H171" s="1">
        <v>0.39539999999999997</v>
      </c>
      <c r="I171" s="1">
        <v>18273.95</v>
      </c>
      <c r="J171" s="1" t="s">
        <v>657</v>
      </c>
      <c r="K171" s="1">
        <v>2186</v>
      </c>
    </row>
    <row r="172" spans="1:11" x14ac:dyDescent="0.3">
      <c r="A172" s="1" t="e">
        <f>-dGWxox788A</f>
        <v>#NAME?</v>
      </c>
      <c r="B172" s="1" t="s">
        <v>658</v>
      </c>
      <c r="C172" s="1" t="s">
        <v>348</v>
      </c>
      <c r="D172" s="1">
        <v>60111</v>
      </c>
      <c r="E172" s="1">
        <v>3200</v>
      </c>
      <c r="F172" s="1">
        <v>3157</v>
      </c>
      <c r="G172" s="1">
        <v>18</v>
      </c>
      <c r="H172" s="1">
        <v>10.5754</v>
      </c>
      <c r="I172" s="1">
        <v>3339.5</v>
      </c>
      <c r="J172" s="1" t="s">
        <v>659</v>
      </c>
      <c r="K172" s="1">
        <v>4854</v>
      </c>
    </row>
    <row r="173" spans="1:11" x14ac:dyDescent="0.3">
      <c r="A173" s="1" t="s">
        <v>660</v>
      </c>
      <c r="B173" s="1" t="s">
        <v>661</v>
      </c>
      <c r="C173" s="1" t="s">
        <v>611</v>
      </c>
      <c r="D173" s="1">
        <v>561391</v>
      </c>
      <c r="E173" s="1">
        <v>4000</v>
      </c>
      <c r="F173" s="1">
        <v>177</v>
      </c>
      <c r="G173" s="1">
        <v>19</v>
      </c>
      <c r="H173" s="1">
        <v>0.74399999999999999</v>
      </c>
      <c r="I173" s="1">
        <v>29546.89</v>
      </c>
      <c r="J173" s="1" t="s">
        <v>662</v>
      </c>
      <c r="K173" s="1">
        <v>2444</v>
      </c>
    </row>
    <row r="174" spans="1:11" x14ac:dyDescent="0.3">
      <c r="A174" s="1" t="s">
        <v>663</v>
      </c>
      <c r="B174" s="1" t="s">
        <v>664</v>
      </c>
      <c r="C174" s="1" t="s">
        <v>665</v>
      </c>
      <c r="D174" s="1">
        <v>11771019</v>
      </c>
      <c r="E174" s="1">
        <v>44000</v>
      </c>
      <c r="F174" s="1">
        <v>1897</v>
      </c>
      <c r="G174" s="1">
        <v>127</v>
      </c>
      <c r="H174" s="1">
        <v>0.38990000000000002</v>
      </c>
      <c r="I174" s="1">
        <v>92685.19</v>
      </c>
      <c r="J174" s="1" t="s">
        <v>666</v>
      </c>
      <c r="K174" s="1">
        <v>138</v>
      </c>
    </row>
    <row r="175" spans="1:11" x14ac:dyDescent="0.3">
      <c r="A175" s="1" t="s">
        <v>667</v>
      </c>
      <c r="B175" s="1" t="s">
        <v>668</v>
      </c>
      <c r="C175" s="1" t="s">
        <v>517</v>
      </c>
      <c r="D175" s="1">
        <v>5968917</v>
      </c>
      <c r="E175" s="1">
        <v>11000</v>
      </c>
      <c r="F175" s="1">
        <v>108</v>
      </c>
      <c r="G175" s="1">
        <v>234</v>
      </c>
      <c r="H175" s="1">
        <v>0.18609999999999999</v>
      </c>
      <c r="I175" s="1">
        <v>25508.19</v>
      </c>
      <c r="J175" s="1" t="s">
        <v>669</v>
      </c>
      <c r="K175" s="1">
        <v>39</v>
      </c>
    </row>
    <row r="176" spans="1:11" x14ac:dyDescent="0.3">
      <c r="A176" s="1" t="s">
        <v>670</v>
      </c>
      <c r="B176" s="1" t="s">
        <v>671</v>
      </c>
      <c r="C176" s="1" t="s">
        <v>525</v>
      </c>
      <c r="D176" s="1">
        <v>72019</v>
      </c>
      <c r="E176" s="1">
        <v>1500</v>
      </c>
      <c r="F176" s="1">
        <v>48</v>
      </c>
      <c r="G176" s="1">
        <v>51</v>
      </c>
      <c r="H176" s="1">
        <v>2.1494</v>
      </c>
      <c r="I176" s="1">
        <v>1412.14</v>
      </c>
      <c r="J176" s="1" t="s">
        <v>672</v>
      </c>
      <c r="K176" s="1">
        <v>685</v>
      </c>
    </row>
    <row r="177" spans="1:11" x14ac:dyDescent="0.3">
      <c r="A177" s="1" t="s">
        <v>673</v>
      </c>
      <c r="B177" s="1" t="s">
        <v>674</v>
      </c>
      <c r="C177" s="1" t="s">
        <v>575</v>
      </c>
      <c r="D177" s="1">
        <v>7268433</v>
      </c>
      <c r="E177" s="1">
        <v>18000</v>
      </c>
      <c r="F177" s="1">
        <v>124</v>
      </c>
      <c r="G177" s="1">
        <v>1182</v>
      </c>
      <c r="H177" s="1">
        <v>0.24940000000000001</v>
      </c>
      <c r="I177" s="1">
        <v>6149.27</v>
      </c>
      <c r="J177" s="1" t="s">
        <v>675</v>
      </c>
      <c r="K177" s="1">
        <v>0</v>
      </c>
    </row>
    <row r="178" spans="1:11" x14ac:dyDescent="0.3">
      <c r="A178" s="1" t="s">
        <v>676</v>
      </c>
      <c r="B178" s="1" t="s">
        <v>677</v>
      </c>
      <c r="C178" s="1" t="s">
        <v>443</v>
      </c>
      <c r="D178" s="1">
        <v>359563</v>
      </c>
      <c r="E178" s="1">
        <v>13000</v>
      </c>
      <c r="F178" s="1">
        <v>1266</v>
      </c>
      <c r="G178" s="1">
        <v>7</v>
      </c>
      <c r="H178" s="1">
        <v>3.9676</v>
      </c>
      <c r="I178" s="1">
        <v>51366.14</v>
      </c>
      <c r="J178" s="1" t="s">
        <v>678</v>
      </c>
      <c r="K178" s="1">
        <v>3807</v>
      </c>
    </row>
    <row r="179" spans="1:11" x14ac:dyDescent="0.3">
      <c r="A179" s="1" t="s">
        <v>679</v>
      </c>
      <c r="B179" s="1" t="s">
        <v>680</v>
      </c>
      <c r="C179" s="1" t="s">
        <v>188</v>
      </c>
      <c r="D179" s="1">
        <v>12787260</v>
      </c>
      <c r="E179" s="1">
        <v>35000</v>
      </c>
      <c r="F179" s="1">
        <v>476</v>
      </c>
      <c r="G179" s="1">
        <v>396</v>
      </c>
      <c r="H179" s="1">
        <v>0.27739999999999998</v>
      </c>
      <c r="I179" s="1">
        <v>32291.06</v>
      </c>
      <c r="J179" s="1" t="s">
        <v>681</v>
      </c>
      <c r="K179" s="1">
        <v>32</v>
      </c>
    </row>
    <row r="180" spans="1:11" x14ac:dyDescent="0.3">
      <c r="A180" s="1" t="s">
        <v>682</v>
      </c>
      <c r="B180" s="1" t="s">
        <v>683</v>
      </c>
      <c r="C180" s="1" t="s">
        <v>684</v>
      </c>
      <c r="D180" s="1">
        <v>382785</v>
      </c>
      <c r="E180" s="1">
        <v>678</v>
      </c>
      <c r="F180" s="1">
        <v>46</v>
      </c>
      <c r="G180" s="1">
        <v>18</v>
      </c>
      <c r="H180" s="1">
        <v>0.18909999999999999</v>
      </c>
      <c r="I180" s="1">
        <v>21265.83</v>
      </c>
      <c r="J180" s="1" t="s">
        <v>685</v>
      </c>
      <c r="K180" s="1">
        <v>437</v>
      </c>
    </row>
    <row r="181" spans="1:11" x14ac:dyDescent="0.3">
      <c r="A181" s="1" t="s">
        <v>686</v>
      </c>
      <c r="B181" s="1" t="s">
        <v>687</v>
      </c>
      <c r="C181" s="1" t="s">
        <v>535</v>
      </c>
      <c r="D181" s="1">
        <v>68550</v>
      </c>
      <c r="E181" s="1">
        <v>2400</v>
      </c>
      <c r="F181" s="1">
        <v>798</v>
      </c>
      <c r="G181" s="1">
        <v>115</v>
      </c>
      <c r="H181" s="1">
        <v>4.6651999999999996</v>
      </c>
      <c r="I181" s="1">
        <v>596.09</v>
      </c>
      <c r="J181" s="1" t="s">
        <v>688</v>
      </c>
      <c r="K181" s="1">
        <v>3477</v>
      </c>
    </row>
    <row r="182" spans="1:11" x14ac:dyDescent="0.3">
      <c r="A182" s="1" t="s">
        <v>689</v>
      </c>
      <c r="B182" s="1" t="s">
        <v>690</v>
      </c>
      <c r="C182" s="1" t="s">
        <v>691</v>
      </c>
      <c r="D182" s="1">
        <v>4278440</v>
      </c>
      <c r="E182" s="1">
        <v>90000</v>
      </c>
      <c r="F182" s="1">
        <v>3954</v>
      </c>
      <c r="G182" s="1">
        <v>172</v>
      </c>
      <c r="H182" s="1">
        <v>2.1960000000000002</v>
      </c>
      <c r="I182" s="1">
        <v>24874.65</v>
      </c>
      <c r="J182" s="1" t="s">
        <v>692</v>
      </c>
      <c r="K182" s="1">
        <v>136</v>
      </c>
    </row>
    <row r="183" spans="1:11" x14ac:dyDescent="0.3">
      <c r="A183" s="1" t="s">
        <v>693</v>
      </c>
      <c r="B183" s="1" t="s">
        <v>694</v>
      </c>
      <c r="C183" s="1" t="s">
        <v>695</v>
      </c>
      <c r="D183" s="1">
        <v>8864793</v>
      </c>
      <c r="E183" s="1">
        <v>45000</v>
      </c>
      <c r="F183" s="1">
        <v>59</v>
      </c>
      <c r="G183" s="1">
        <v>6728</v>
      </c>
      <c r="H183" s="1">
        <v>0.50829999999999997</v>
      </c>
      <c r="I183" s="1">
        <v>1317.6</v>
      </c>
      <c r="J183" s="1" t="s">
        <v>696</v>
      </c>
      <c r="K183" s="1">
        <v>29</v>
      </c>
    </row>
    <row r="184" spans="1:11" x14ac:dyDescent="0.3">
      <c r="A184" s="1" t="s">
        <v>697</v>
      </c>
      <c r="B184" s="1" t="s">
        <v>698</v>
      </c>
      <c r="C184" s="1" t="s">
        <v>642</v>
      </c>
      <c r="D184" s="1">
        <v>6198556</v>
      </c>
      <c r="E184" s="1">
        <v>34000</v>
      </c>
      <c r="F184" s="1">
        <v>1537</v>
      </c>
      <c r="G184" s="1">
        <v>571</v>
      </c>
      <c r="H184" s="1">
        <v>0.57330000000000003</v>
      </c>
      <c r="I184" s="1">
        <v>10855.61</v>
      </c>
      <c r="J184" s="1" t="s">
        <v>699</v>
      </c>
      <c r="K184" s="1">
        <v>362</v>
      </c>
    </row>
    <row r="185" spans="1:11" x14ac:dyDescent="0.3">
      <c r="A185" s="1" t="s">
        <v>700</v>
      </c>
      <c r="B185" s="1" t="s">
        <v>701</v>
      </c>
      <c r="C185" s="1" t="s">
        <v>702</v>
      </c>
      <c r="D185" s="1">
        <v>5239532</v>
      </c>
      <c r="E185" s="1">
        <v>19000</v>
      </c>
      <c r="F185" s="1">
        <v>129</v>
      </c>
      <c r="G185" s="1">
        <v>830</v>
      </c>
      <c r="H185" s="1">
        <v>0.36509999999999998</v>
      </c>
      <c r="I185" s="1">
        <v>6312.69</v>
      </c>
      <c r="J185" s="1" t="s">
        <v>703</v>
      </c>
      <c r="K185" s="1">
        <v>37</v>
      </c>
    </row>
    <row r="186" spans="1:11" x14ac:dyDescent="0.3">
      <c r="A186" s="1" t="s">
        <v>704</v>
      </c>
      <c r="B186" s="1" t="s">
        <v>705</v>
      </c>
      <c r="C186" s="1" t="s">
        <v>481</v>
      </c>
      <c r="D186" s="1">
        <v>202795</v>
      </c>
      <c r="E186" s="1">
        <v>9000</v>
      </c>
      <c r="F186" s="1">
        <v>152</v>
      </c>
      <c r="G186" s="1">
        <v>52</v>
      </c>
      <c r="H186" s="1">
        <v>4.5129000000000001</v>
      </c>
      <c r="I186" s="1">
        <v>3899.9</v>
      </c>
      <c r="J186" s="1" t="s">
        <v>706</v>
      </c>
      <c r="K186" s="1">
        <v>1108</v>
      </c>
    </row>
    <row r="187" spans="1:11" x14ac:dyDescent="0.3">
      <c r="A187" s="1" t="s">
        <v>707</v>
      </c>
      <c r="B187" s="1" t="s">
        <v>708</v>
      </c>
      <c r="C187" s="1" t="s">
        <v>709</v>
      </c>
      <c r="D187" s="1">
        <v>3135424</v>
      </c>
      <c r="E187" s="1">
        <v>18000</v>
      </c>
      <c r="F187" s="1">
        <v>1852</v>
      </c>
      <c r="G187" s="1">
        <v>333</v>
      </c>
      <c r="H187" s="1">
        <v>0.63319999999999999</v>
      </c>
      <c r="I187" s="1">
        <v>9415.69</v>
      </c>
      <c r="J187" s="1" t="s">
        <v>710</v>
      </c>
      <c r="K187" s="1">
        <v>354</v>
      </c>
    </row>
    <row r="188" spans="1:11" x14ac:dyDescent="0.3">
      <c r="A188" s="1" t="s">
        <v>711</v>
      </c>
      <c r="B188" s="1" t="s">
        <v>712</v>
      </c>
      <c r="C188" s="1" t="s">
        <v>340</v>
      </c>
      <c r="D188" s="1">
        <v>11883396</v>
      </c>
      <c r="E188" s="1">
        <v>19000</v>
      </c>
      <c r="F188" s="1">
        <v>309</v>
      </c>
      <c r="G188" s="1">
        <v>199</v>
      </c>
      <c r="H188" s="1">
        <v>0.16250000000000001</v>
      </c>
      <c r="I188" s="1">
        <v>59715.56</v>
      </c>
      <c r="J188" s="1" t="s">
        <v>713</v>
      </c>
      <c r="K188" s="1">
        <v>0</v>
      </c>
    </row>
    <row r="189" spans="1:11" x14ac:dyDescent="0.3">
      <c r="A189" s="1" t="s">
        <v>714</v>
      </c>
      <c r="B189" s="1" t="s">
        <v>715</v>
      </c>
      <c r="C189" s="1" t="s">
        <v>716</v>
      </c>
      <c r="D189" s="1">
        <v>575845</v>
      </c>
      <c r="E189" s="1">
        <v>532</v>
      </c>
      <c r="F189" s="1">
        <v>21</v>
      </c>
      <c r="G189" s="1">
        <v>128</v>
      </c>
      <c r="H189" s="1">
        <v>9.6000000000000002E-2</v>
      </c>
      <c r="I189" s="1">
        <v>4498.79</v>
      </c>
      <c r="J189" s="1" t="s">
        <v>717</v>
      </c>
      <c r="K189" s="1">
        <v>0</v>
      </c>
    </row>
    <row r="190" spans="1:11" x14ac:dyDescent="0.3">
      <c r="A190" s="1" t="s">
        <v>718</v>
      </c>
      <c r="B190" s="1" t="s">
        <v>719</v>
      </c>
      <c r="C190" s="1" t="s">
        <v>611</v>
      </c>
      <c r="D190" s="1">
        <v>1720115</v>
      </c>
      <c r="E190" s="1">
        <v>20000</v>
      </c>
      <c r="F190" s="1">
        <v>442</v>
      </c>
      <c r="G190" s="1">
        <v>209</v>
      </c>
      <c r="H190" s="1">
        <v>1.1883999999999999</v>
      </c>
      <c r="I190" s="1">
        <v>8230.2199999999993</v>
      </c>
      <c r="J190" s="1" t="s">
        <v>720</v>
      </c>
      <c r="K190" s="1">
        <v>1110</v>
      </c>
    </row>
    <row r="191" spans="1:11" x14ac:dyDescent="0.3">
      <c r="A191" s="1" t="s">
        <v>721</v>
      </c>
      <c r="B191" s="1" t="s">
        <v>722</v>
      </c>
      <c r="C191" s="1" t="s">
        <v>723</v>
      </c>
      <c r="D191" s="1">
        <v>3226467</v>
      </c>
      <c r="E191" s="1">
        <v>18000</v>
      </c>
      <c r="F191" s="1">
        <v>1746</v>
      </c>
      <c r="G191" s="1">
        <v>71</v>
      </c>
      <c r="H191" s="1">
        <v>0.61199999999999999</v>
      </c>
      <c r="I191" s="1">
        <v>45443.199999999997</v>
      </c>
      <c r="J191" s="1" t="s">
        <v>724</v>
      </c>
      <c r="K191" s="1">
        <v>733</v>
      </c>
    </row>
    <row r="192" spans="1:11" x14ac:dyDescent="0.3">
      <c r="A192" s="1" t="s">
        <v>725</v>
      </c>
      <c r="B192" s="1" t="s">
        <v>726</v>
      </c>
      <c r="C192" s="1" t="s">
        <v>340</v>
      </c>
      <c r="D192" s="1">
        <v>1430504</v>
      </c>
      <c r="E192" s="1">
        <v>2600</v>
      </c>
      <c r="F192" s="1">
        <v>29</v>
      </c>
      <c r="G192" s="1">
        <v>170</v>
      </c>
      <c r="H192" s="1">
        <v>0.18379999999999999</v>
      </c>
      <c r="I192" s="1">
        <v>8414.73</v>
      </c>
      <c r="J192" s="1" t="s">
        <v>727</v>
      </c>
      <c r="K192" s="1">
        <v>0</v>
      </c>
    </row>
    <row r="193" spans="1:11" x14ac:dyDescent="0.3">
      <c r="A193" s="1" t="s">
        <v>728</v>
      </c>
      <c r="B193" s="1" t="s">
        <v>729</v>
      </c>
      <c r="C193" s="1" t="s">
        <v>730</v>
      </c>
      <c r="D193" s="1">
        <v>2868495</v>
      </c>
      <c r="E193" s="1">
        <v>9000</v>
      </c>
      <c r="F193" s="1">
        <v>103</v>
      </c>
      <c r="G193" s="1">
        <v>305</v>
      </c>
      <c r="H193" s="1">
        <v>0.31730000000000003</v>
      </c>
      <c r="I193" s="1">
        <v>9404.9</v>
      </c>
      <c r="J193" s="1" t="s">
        <v>731</v>
      </c>
      <c r="K193" s="1">
        <v>111</v>
      </c>
    </row>
    <row r="194" spans="1:11" x14ac:dyDescent="0.3">
      <c r="A194" s="1" t="s">
        <v>732</v>
      </c>
      <c r="B194" s="1" t="s">
        <v>733</v>
      </c>
      <c r="C194" s="1" t="s">
        <v>734</v>
      </c>
      <c r="D194" s="1">
        <v>4140147</v>
      </c>
      <c r="E194" s="1">
        <v>207000</v>
      </c>
      <c r="F194" s="1">
        <v>58490</v>
      </c>
      <c r="G194" s="1">
        <v>364</v>
      </c>
      <c r="H194" s="1">
        <v>6.4126000000000003</v>
      </c>
      <c r="I194" s="1">
        <v>11374.03</v>
      </c>
      <c r="J194" s="1" t="s">
        <v>735</v>
      </c>
      <c r="K194" s="1">
        <v>3062</v>
      </c>
    </row>
    <row r="195" spans="1:11" x14ac:dyDescent="0.3">
      <c r="A195" s="1" t="s">
        <v>736</v>
      </c>
      <c r="B195" s="1" t="s">
        <v>737</v>
      </c>
      <c r="C195" s="1" t="s">
        <v>738</v>
      </c>
      <c r="D195" s="1">
        <v>670295</v>
      </c>
      <c r="E195" s="1">
        <v>1600</v>
      </c>
      <c r="F195" s="1">
        <v>46</v>
      </c>
      <c r="G195" s="1">
        <v>306</v>
      </c>
      <c r="H195" s="1">
        <v>0.24560000000000001</v>
      </c>
      <c r="I195" s="1">
        <v>2190.5100000000002</v>
      </c>
      <c r="J195" s="1" t="s">
        <v>739</v>
      </c>
      <c r="K195" s="1">
        <v>1014</v>
      </c>
    </row>
    <row r="196" spans="1:11" x14ac:dyDescent="0.3">
      <c r="A196" s="1" t="s">
        <v>740</v>
      </c>
      <c r="B196" s="1" t="s">
        <v>741</v>
      </c>
      <c r="C196" s="1" t="s">
        <v>738</v>
      </c>
      <c r="D196" s="1">
        <v>36521</v>
      </c>
      <c r="E196" s="1">
        <v>829</v>
      </c>
      <c r="F196" s="1">
        <v>20</v>
      </c>
      <c r="G196" s="1">
        <v>1</v>
      </c>
      <c r="H196" s="1">
        <v>2.3247</v>
      </c>
      <c r="I196" s="1">
        <v>36521</v>
      </c>
      <c r="J196" s="1" t="s">
        <v>742</v>
      </c>
      <c r="K196" s="1">
        <v>1651</v>
      </c>
    </row>
    <row r="197" spans="1:11" x14ac:dyDescent="0.3">
      <c r="A197" s="1" t="s">
        <v>743</v>
      </c>
      <c r="B197" s="1" t="s">
        <v>744</v>
      </c>
      <c r="C197" s="1" t="s">
        <v>745</v>
      </c>
      <c r="D197" s="1">
        <v>105502</v>
      </c>
      <c r="E197" s="1">
        <v>3100</v>
      </c>
      <c r="F197" s="1">
        <v>72</v>
      </c>
      <c r="G197" s="1">
        <v>2</v>
      </c>
      <c r="H197" s="1">
        <v>3.0066000000000002</v>
      </c>
      <c r="I197" s="1">
        <v>52751</v>
      </c>
      <c r="J197" s="1" t="s">
        <v>746</v>
      </c>
      <c r="K197" s="1">
        <v>504</v>
      </c>
    </row>
    <row r="198" spans="1:11" x14ac:dyDescent="0.3">
      <c r="A198" s="1" t="s">
        <v>747</v>
      </c>
      <c r="B198" s="1" t="s">
        <v>748</v>
      </c>
      <c r="C198" s="1" t="s">
        <v>525</v>
      </c>
      <c r="D198" s="1">
        <v>77252</v>
      </c>
      <c r="E198" s="1">
        <v>1000</v>
      </c>
      <c r="F198" s="1">
        <v>60</v>
      </c>
      <c r="G198" s="1">
        <v>119</v>
      </c>
      <c r="H198" s="1">
        <v>1.3721000000000001</v>
      </c>
      <c r="I198" s="1">
        <v>649.17999999999995</v>
      </c>
      <c r="J198" s="1" t="s">
        <v>749</v>
      </c>
      <c r="K198" s="1">
        <v>625</v>
      </c>
    </row>
    <row r="199" spans="1:11" x14ac:dyDescent="0.3">
      <c r="A199" s="1" t="s">
        <v>750</v>
      </c>
      <c r="B199" s="1" t="s">
        <v>751</v>
      </c>
      <c r="C199" s="1" t="s">
        <v>752</v>
      </c>
      <c r="D199" s="1">
        <v>400898</v>
      </c>
      <c r="E199" s="1">
        <v>4000</v>
      </c>
      <c r="F199" s="1">
        <v>253</v>
      </c>
      <c r="G199" s="1">
        <v>144</v>
      </c>
      <c r="H199" s="1">
        <v>1.0609</v>
      </c>
      <c r="I199" s="1">
        <v>2784.01</v>
      </c>
      <c r="J199" s="1" t="s">
        <v>753</v>
      </c>
      <c r="K199" s="1">
        <v>537</v>
      </c>
    </row>
    <row r="200" spans="1:11" x14ac:dyDescent="0.3">
      <c r="A200" s="1" t="s">
        <v>754</v>
      </c>
      <c r="B200" s="1" t="s">
        <v>755</v>
      </c>
      <c r="C200" s="1" t="s">
        <v>383</v>
      </c>
      <c r="D200" s="1">
        <v>10376463</v>
      </c>
      <c r="E200" s="1">
        <v>44000</v>
      </c>
      <c r="F200" s="1">
        <v>236</v>
      </c>
      <c r="G200" s="1">
        <v>1057</v>
      </c>
      <c r="H200" s="1">
        <v>0.42630000000000001</v>
      </c>
      <c r="I200" s="1">
        <v>9816.9</v>
      </c>
      <c r="J200" s="1" t="s">
        <v>756</v>
      </c>
      <c r="K200" s="1">
        <v>0</v>
      </c>
    </row>
    <row r="201" spans="1:11" x14ac:dyDescent="0.3">
      <c r="A201" s="1" t="s">
        <v>757</v>
      </c>
      <c r="B201" s="1" t="s">
        <v>758</v>
      </c>
      <c r="C201" s="1" t="s">
        <v>759</v>
      </c>
      <c r="D201" s="1">
        <v>3332899</v>
      </c>
      <c r="E201" s="1">
        <v>9100</v>
      </c>
      <c r="F201" s="1">
        <v>0</v>
      </c>
      <c r="G201" s="1">
        <v>535</v>
      </c>
      <c r="H201" s="1">
        <v>0.27300000000000002</v>
      </c>
      <c r="I201" s="1">
        <v>6229.72</v>
      </c>
      <c r="J201" s="1" t="s">
        <v>760</v>
      </c>
      <c r="K201" s="1">
        <v>592</v>
      </c>
    </row>
    <row r="202" spans="1:11" x14ac:dyDescent="0.3">
      <c r="A202" s="1" t="s">
        <v>761</v>
      </c>
      <c r="B202" s="1" t="s">
        <v>762</v>
      </c>
      <c r="C202" s="1" t="s">
        <v>763</v>
      </c>
      <c r="D202" s="1">
        <v>1418689</v>
      </c>
      <c r="E202" s="1">
        <v>8700</v>
      </c>
      <c r="F202" s="1">
        <v>299</v>
      </c>
      <c r="G202" s="1">
        <v>145</v>
      </c>
      <c r="H202" s="1">
        <v>0.63429999999999997</v>
      </c>
      <c r="I202" s="1">
        <v>9784.06</v>
      </c>
      <c r="J202" s="1" t="s">
        <v>764</v>
      </c>
      <c r="K202" s="1">
        <v>1166</v>
      </c>
    </row>
    <row r="203" spans="1:11" x14ac:dyDescent="0.3">
      <c r="A203" s="1" t="s">
        <v>765</v>
      </c>
      <c r="B203" s="1" t="s">
        <v>766</v>
      </c>
      <c r="C203" s="1" t="s">
        <v>525</v>
      </c>
      <c r="D203" s="1">
        <v>18314</v>
      </c>
      <c r="E203" s="1">
        <v>587</v>
      </c>
      <c r="F203" s="1">
        <v>17</v>
      </c>
      <c r="G203" s="1">
        <v>97</v>
      </c>
      <c r="H203" s="1">
        <v>3.298</v>
      </c>
      <c r="I203" s="1">
        <v>188.8</v>
      </c>
      <c r="J203" s="1" t="s">
        <v>767</v>
      </c>
      <c r="K203" s="1">
        <v>567</v>
      </c>
    </row>
    <row r="204" spans="1:11" x14ac:dyDescent="0.3">
      <c r="A204" s="1" t="s">
        <v>768</v>
      </c>
      <c r="B204" s="1" t="s">
        <v>769</v>
      </c>
      <c r="C204" s="1" t="s">
        <v>525</v>
      </c>
      <c r="D204" s="1">
        <v>141981</v>
      </c>
      <c r="E204" s="1">
        <v>2400</v>
      </c>
      <c r="F204" s="1">
        <v>102</v>
      </c>
      <c r="G204" s="1">
        <v>84</v>
      </c>
      <c r="H204" s="1">
        <v>1.7622</v>
      </c>
      <c r="I204" s="1">
        <v>1690.25</v>
      </c>
      <c r="J204" s="1" t="s">
        <v>770</v>
      </c>
      <c r="K204" s="1">
        <v>653</v>
      </c>
    </row>
    <row r="205" spans="1:11" x14ac:dyDescent="0.3">
      <c r="A205" s="1" t="s">
        <v>771</v>
      </c>
      <c r="B205" s="1" t="s">
        <v>772</v>
      </c>
      <c r="C205" s="1" t="s">
        <v>340</v>
      </c>
      <c r="D205" s="1">
        <v>1021705</v>
      </c>
      <c r="E205" s="1">
        <v>3000</v>
      </c>
      <c r="F205" s="1">
        <v>25</v>
      </c>
      <c r="G205" s="1">
        <v>420</v>
      </c>
      <c r="H205" s="1">
        <v>0.29609999999999997</v>
      </c>
      <c r="I205" s="1">
        <v>2432.63</v>
      </c>
      <c r="J205" s="1" t="s">
        <v>773</v>
      </c>
      <c r="K205" s="1">
        <v>0</v>
      </c>
    </row>
    <row r="206" spans="1:11" x14ac:dyDescent="0.3">
      <c r="A206" s="1" t="s">
        <v>774</v>
      </c>
      <c r="B206" s="1" t="s">
        <v>775</v>
      </c>
      <c r="C206" s="1" t="s">
        <v>599</v>
      </c>
      <c r="D206" s="1">
        <v>573102</v>
      </c>
      <c r="E206" s="1">
        <v>4000</v>
      </c>
      <c r="F206" s="1">
        <v>215</v>
      </c>
      <c r="G206" s="1">
        <v>109</v>
      </c>
      <c r="H206" s="1">
        <v>0.73550000000000004</v>
      </c>
      <c r="I206" s="1">
        <v>5257.82</v>
      </c>
      <c r="J206" s="1" t="s">
        <v>776</v>
      </c>
      <c r="K206" s="1">
        <v>2200</v>
      </c>
    </row>
    <row r="207" spans="1:11" x14ac:dyDescent="0.3">
      <c r="A207" s="1" t="s">
        <v>777</v>
      </c>
      <c r="B207" s="1" t="s">
        <v>778</v>
      </c>
      <c r="C207" s="1" t="s">
        <v>779</v>
      </c>
      <c r="D207" s="1">
        <v>2400288</v>
      </c>
      <c r="E207" s="1">
        <v>4000</v>
      </c>
      <c r="F207" s="1">
        <v>0</v>
      </c>
      <c r="G207" s="1">
        <v>873</v>
      </c>
      <c r="H207" s="1">
        <v>0.1666</v>
      </c>
      <c r="I207" s="1">
        <v>2749.47</v>
      </c>
      <c r="J207" s="1" t="s">
        <v>780</v>
      </c>
      <c r="K207" s="1">
        <v>454</v>
      </c>
    </row>
    <row r="208" spans="1:11" x14ac:dyDescent="0.3">
      <c r="A208" s="1" t="s">
        <v>781</v>
      </c>
      <c r="B208" s="1" t="s">
        <v>782</v>
      </c>
      <c r="C208" s="1" t="s">
        <v>783</v>
      </c>
      <c r="D208" s="1">
        <v>11003622</v>
      </c>
      <c r="E208" s="1">
        <v>80000</v>
      </c>
      <c r="F208" s="1">
        <v>1193</v>
      </c>
      <c r="G208" s="1">
        <v>360</v>
      </c>
      <c r="H208" s="1">
        <v>0.7379</v>
      </c>
      <c r="I208" s="1">
        <v>30565.62</v>
      </c>
      <c r="J208" s="1" t="s">
        <v>784</v>
      </c>
      <c r="K208" s="1">
        <v>74</v>
      </c>
    </row>
    <row r="209" spans="1:11" x14ac:dyDescent="0.3">
      <c r="A209" s="1" t="s">
        <v>785</v>
      </c>
      <c r="B209" s="1" t="s">
        <v>786</v>
      </c>
      <c r="C209" s="1" t="s">
        <v>599</v>
      </c>
      <c r="D209" s="1">
        <v>817342</v>
      </c>
      <c r="E209" s="1">
        <v>4400</v>
      </c>
      <c r="F209" s="1">
        <v>220</v>
      </c>
      <c r="G209" s="1">
        <v>25</v>
      </c>
      <c r="H209" s="1">
        <v>0.56520000000000004</v>
      </c>
      <c r="I209" s="1">
        <v>32693.68</v>
      </c>
      <c r="J209" s="1" t="s">
        <v>787</v>
      </c>
      <c r="K209" s="1">
        <v>2182</v>
      </c>
    </row>
    <row r="210" spans="1:11" x14ac:dyDescent="0.3">
      <c r="A210" s="1" t="s">
        <v>788</v>
      </c>
      <c r="B210" s="1" t="s">
        <v>789</v>
      </c>
      <c r="C210" s="1" t="s">
        <v>611</v>
      </c>
      <c r="D210" s="1">
        <v>645877</v>
      </c>
      <c r="E210" s="1">
        <v>3300</v>
      </c>
      <c r="F210" s="1">
        <v>181</v>
      </c>
      <c r="G210" s="1">
        <v>74</v>
      </c>
      <c r="H210" s="1">
        <v>0.53900000000000003</v>
      </c>
      <c r="I210" s="1">
        <v>8728.07</v>
      </c>
      <c r="J210" s="1" t="s">
        <v>790</v>
      </c>
      <c r="K210" s="1">
        <v>3550</v>
      </c>
    </row>
    <row r="211" spans="1:11" x14ac:dyDescent="0.3">
      <c r="A211" s="1" t="s">
        <v>791</v>
      </c>
      <c r="B211" s="1" t="s">
        <v>792</v>
      </c>
      <c r="C211" s="1" t="s">
        <v>702</v>
      </c>
      <c r="D211" s="1">
        <v>3990677</v>
      </c>
      <c r="E211" s="1">
        <v>13000</v>
      </c>
      <c r="F211" s="1">
        <v>83</v>
      </c>
      <c r="G211" s="1">
        <v>831</v>
      </c>
      <c r="H211" s="1">
        <v>0.32779999999999998</v>
      </c>
      <c r="I211" s="1">
        <v>4802.26</v>
      </c>
      <c r="J211" s="1" t="s">
        <v>793</v>
      </c>
      <c r="K211" s="1">
        <v>37</v>
      </c>
    </row>
    <row r="212" spans="1:11" x14ac:dyDescent="0.3">
      <c r="A212" s="1" t="s">
        <v>794</v>
      </c>
      <c r="B212" s="1" t="s">
        <v>795</v>
      </c>
      <c r="C212" s="1" t="s">
        <v>796</v>
      </c>
      <c r="D212" s="1">
        <v>7672664</v>
      </c>
      <c r="E212" s="1">
        <v>11000</v>
      </c>
      <c r="F212" s="1">
        <v>203</v>
      </c>
      <c r="G212" s="1">
        <v>728</v>
      </c>
      <c r="H212" s="1">
        <v>0.14599999999999999</v>
      </c>
      <c r="I212" s="1">
        <v>10539.37</v>
      </c>
      <c r="J212" s="1" t="s">
        <v>797</v>
      </c>
      <c r="K212" s="1">
        <v>0</v>
      </c>
    </row>
    <row r="213" spans="1:11" x14ac:dyDescent="0.3">
      <c r="A213" s="1" t="s">
        <v>798</v>
      </c>
      <c r="B213" s="1" t="s">
        <v>799</v>
      </c>
      <c r="C213" s="1" t="s">
        <v>611</v>
      </c>
      <c r="D213" s="1">
        <v>3336930</v>
      </c>
      <c r="E213" s="1">
        <v>16000</v>
      </c>
      <c r="F213" s="1">
        <v>1103</v>
      </c>
      <c r="G213" s="1">
        <v>170</v>
      </c>
      <c r="H213" s="1">
        <v>0.51249999999999996</v>
      </c>
      <c r="I213" s="1">
        <v>19629</v>
      </c>
      <c r="J213" s="1" t="s">
        <v>800</v>
      </c>
      <c r="K213" s="1">
        <v>1105</v>
      </c>
    </row>
    <row r="214" spans="1:11" x14ac:dyDescent="0.3">
      <c r="A214" s="1" t="s">
        <v>801</v>
      </c>
      <c r="B214" s="1" t="s">
        <v>802</v>
      </c>
      <c r="C214" s="1" t="s">
        <v>803</v>
      </c>
      <c r="D214" s="1">
        <v>141287002</v>
      </c>
      <c r="E214" s="1">
        <v>1100000</v>
      </c>
      <c r="F214" s="1">
        <v>2781</v>
      </c>
      <c r="G214" s="1">
        <v>352</v>
      </c>
      <c r="H214" s="1">
        <v>0.78049999999999997</v>
      </c>
      <c r="I214" s="1">
        <v>401383.53</v>
      </c>
      <c r="J214" s="1" t="s">
        <v>804</v>
      </c>
      <c r="K214" s="1">
        <v>0</v>
      </c>
    </row>
    <row r="215" spans="1:11" x14ac:dyDescent="0.3">
      <c r="A215" s="1" t="s">
        <v>805</v>
      </c>
      <c r="B215" s="1" t="s">
        <v>806</v>
      </c>
      <c r="C215" s="1" t="s">
        <v>807</v>
      </c>
      <c r="D215" s="1">
        <v>21347502</v>
      </c>
      <c r="E215" s="1">
        <v>13000</v>
      </c>
      <c r="F215" s="1">
        <v>134</v>
      </c>
      <c r="G215" s="1">
        <v>291</v>
      </c>
      <c r="H215" s="1">
        <v>6.1499999999999999E-2</v>
      </c>
      <c r="I215" s="1">
        <v>73359.11</v>
      </c>
      <c r="J215" s="1" t="s">
        <v>808</v>
      </c>
      <c r="K215" s="1">
        <v>703</v>
      </c>
    </row>
    <row r="216" spans="1:11" x14ac:dyDescent="0.3">
      <c r="A216" s="1" t="s">
        <v>809</v>
      </c>
      <c r="B216" s="1" t="s">
        <v>810</v>
      </c>
      <c r="C216" s="1" t="s">
        <v>811</v>
      </c>
      <c r="D216" s="1">
        <v>406412</v>
      </c>
      <c r="E216" s="1">
        <v>45000</v>
      </c>
      <c r="F216" s="1">
        <v>9053</v>
      </c>
      <c r="G216" s="1">
        <v>220</v>
      </c>
      <c r="H216" s="1">
        <v>13.3001</v>
      </c>
      <c r="I216" s="1">
        <v>1847.33</v>
      </c>
      <c r="J216" s="1" t="s">
        <v>812</v>
      </c>
      <c r="K216" s="1">
        <v>2183</v>
      </c>
    </row>
    <row r="217" spans="1:11" x14ac:dyDescent="0.3">
      <c r="A217" s="1" t="s">
        <v>813</v>
      </c>
      <c r="B217" s="1" t="s">
        <v>814</v>
      </c>
      <c r="C217" s="1" t="s">
        <v>525</v>
      </c>
      <c r="D217" s="1">
        <v>37120</v>
      </c>
      <c r="E217" s="1">
        <v>817</v>
      </c>
      <c r="F217" s="1">
        <v>51</v>
      </c>
      <c r="G217" s="1">
        <v>110</v>
      </c>
      <c r="H217" s="1">
        <v>2.3384</v>
      </c>
      <c r="I217" s="1">
        <v>337.45</v>
      </c>
      <c r="J217" s="1" t="s">
        <v>815</v>
      </c>
      <c r="K217" s="1">
        <v>624</v>
      </c>
    </row>
    <row r="218" spans="1:11" x14ac:dyDescent="0.3">
      <c r="A218" s="1" t="s">
        <v>816</v>
      </c>
      <c r="B218" s="1" t="s">
        <v>817</v>
      </c>
      <c r="C218" s="1" t="s">
        <v>525</v>
      </c>
      <c r="D218" s="1">
        <v>27085</v>
      </c>
      <c r="E218" s="1">
        <v>678</v>
      </c>
      <c r="F218" s="1">
        <v>35</v>
      </c>
      <c r="G218" s="1">
        <v>127</v>
      </c>
      <c r="H218" s="1">
        <v>2.6324999999999998</v>
      </c>
      <c r="I218" s="1">
        <v>213.27</v>
      </c>
      <c r="J218" s="1" t="s">
        <v>818</v>
      </c>
      <c r="K218" s="1">
        <v>571</v>
      </c>
    </row>
    <row r="219" spans="1:11" x14ac:dyDescent="0.3">
      <c r="A219" s="1" t="s">
        <v>819</v>
      </c>
      <c r="B219" s="1" t="s">
        <v>820</v>
      </c>
      <c r="C219" s="1" t="s">
        <v>525</v>
      </c>
      <c r="D219" s="1">
        <v>15761</v>
      </c>
      <c r="E219" s="1">
        <v>393</v>
      </c>
      <c r="F219" s="1">
        <v>29</v>
      </c>
      <c r="G219" s="1">
        <v>107</v>
      </c>
      <c r="H219" s="1">
        <v>2.6775000000000002</v>
      </c>
      <c r="I219" s="1">
        <v>147.30000000000001</v>
      </c>
      <c r="J219" s="1" t="s">
        <v>821</v>
      </c>
      <c r="K219" s="1">
        <v>629</v>
      </c>
    </row>
    <row r="220" spans="1:11" x14ac:dyDescent="0.3">
      <c r="A220" s="1" t="s">
        <v>822</v>
      </c>
      <c r="B220" s="1" t="s">
        <v>823</v>
      </c>
      <c r="C220" s="1" t="s">
        <v>824</v>
      </c>
      <c r="D220" s="1">
        <v>6989760</v>
      </c>
      <c r="E220" s="1">
        <v>19000</v>
      </c>
      <c r="F220" s="1">
        <v>0</v>
      </c>
      <c r="G220" s="1">
        <v>715</v>
      </c>
      <c r="H220" s="1">
        <v>0.27179999999999999</v>
      </c>
      <c r="I220" s="1">
        <v>9775.89</v>
      </c>
      <c r="J220" s="1" t="s">
        <v>825</v>
      </c>
      <c r="K220" s="1">
        <v>402</v>
      </c>
    </row>
    <row r="221" spans="1:11" x14ac:dyDescent="0.3">
      <c r="A221" s="1" t="s">
        <v>826</v>
      </c>
      <c r="B221" s="1" t="s">
        <v>827</v>
      </c>
      <c r="C221" s="1" t="s">
        <v>779</v>
      </c>
      <c r="D221" s="1">
        <v>10839758</v>
      </c>
      <c r="E221" s="1">
        <v>33000</v>
      </c>
      <c r="F221" s="1">
        <v>0</v>
      </c>
      <c r="G221" s="1">
        <v>1299</v>
      </c>
      <c r="H221" s="1">
        <v>0.3044</v>
      </c>
      <c r="I221" s="1">
        <v>8344.69</v>
      </c>
      <c r="J221" s="1" t="s">
        <v>828</v>
      </c>
      <c r="K221" s="1">
        <v>57</v>
      </c>
    </row>
    <row r="222" spans="1:11" x14ac:dyDescent="0.3">
      <c r="A222" s="1" t="s">
        <v>829</v>
      </c>
      <c r="B222" s="1" t="s">
        <v>830</v>
      </c>
      <c r="C222" s="1" t="s">
        <v>348</v>
      </c>
      <c r="D222" s="1">
        <v>88567</v>
      </c>
      <c r="E222" s="1">
        <v>2700</v>
      </c>
      <c r="F222" s="1">
        <v>1566</v>
      </c>
      <c r="G222" s="1">
        <v>165</v>
      </c>
      <c r="H222" s="1">
        <v>4.8167</v>
      </c>
      <c r="I222" s="1">
        <v>536.77</v>
      </c>
      <c r="J222" s="1" t="s">
        <v>831</v>
      </c>
      <c r="K222" s="1">
        <v>4859</v>
      </c>
    </row>
    <row r="223" spans="1:11" x14ac:dyDescent="0.3">
      <c r="A223" s="1" t="s">
        <v>832</v>
      </c>
      <c r="B223" s="1" t="s">
        <v>833</v>
      </c>
      <c r="C223" s="1" t="s">
        <v>525</v>
      </c>
      <c r="D223" s="1">
        <v>23928</v>
      </c>
      <c r="E223" s="1">
        <v>570</v>
      </c>
      <c r="F223" s="1">
        <v>40</v>
      </c>
      <c r="G223" s="1">
        <v>141</v>
      </c>
      <c r="H223" s="1">
        <v>2.5493000000000001</v>
      </c>
      <c r="I223" s="1">
        <v>169.7</v>
      </c>
      <c r="J223" s="1" t="s">
        <v>834</v>
      </c>
      <c r="K223" s="1">
        <v>573</v>
      </c>
    </row>
    <row r="224" spans="1:11" x14ac:dyDescent="0.3">
      <c r="A224" s="1" t="s">
        <v>835</v>
      </c>
      <c r="B224" s="1" t="s">
        <v>836</v>
      </c>
      <c r="C224" s="1" t="s">
        <v>837</v>
      </c>
      <c r="D224" s="1">
        <v>139021</v>
      </c>
      <c r="E224" s="1">
        <v>4000</v>
      </c>
      <c r="F224" s="1">
        <v>2208</v>
      </c>
      <c r="G224" s="1">
        <v>169</v>
      </c>
      <c r="H224" s="1">
        <v>4.4654999999999996</v>
      </c>
      <c r="I224" s="1">
        <v>822.61</v>
      </c>
      <c r="J224" s="1" t="s">
        <v>838</v>
      </c>
      <c r="K224" s="1">
        <v>2125</v>
      </c>
    </row>
    <row r="225" spans="1:11" x14ac:dyDescent="0.3">
      <c r="A225" s="1" t="s">
        <v>839</v>
      </c>
      <c r="B225" s="1" t="s">
        <v>840</v>
      </c>
      <c r="C225" s="1" t="s">
        <v>525</v>
      </c>
      <c r="D225" s="1">
        <v>18131</v>
      </c>
      <c r="E225" s="1">
        <v>487</v>
      </c>
      <c r="F225" s="1">
        <v>38</v>
      </c>
      <c r="G225" s="1">
        <v>61</v>
      </c>
      <c r="H225" s="1">
        <v>2.8956</v>
      </c>
      <c r="I225" s="1">
        <v>297.23</v>
      </c>
      <c r="J225" s="1" t="s">
        <v>841</v>
      </c>
      <c r="K225" s="1">
        <v>683</v>
      </c>
    </row>
    <row r="226" spans="1:11" x14ac:dyDescent="0.3">
      <c r="A226" s="1" t="s">
        <v>842</v>
      </c>
      <c r="B226" s="1" t="s">
        <v>843</v>
      </c>
      <c r="C226" s="1" t="s">
        <v>340</v>
      </c>
      <c r="D226" s="1">
        <v>5051087</v>
      </c>
      <c r="E226" s="1">
        <v>18000</v>
      </c>
      <c r="F226" s="1">
        <v>367</v>
      </c>
      <c r="G226" s="1">
        <v>455</v>
      </c>
      <c r="H226" s="1">
        <v>0.36359999999999998</v>
      </c>
      <c r="I226" s="1">
        <v>11101.29</v>
      </c>
      <c r="J226" s="1" t="s">
        <v>844</v>
      </c>
      <c r="K226" s="1">
        <v>0</v>
      </c>
    </row>
    <row r="227" spans="1:11" x14ac:dyDescent="0.3">
      <c r="A227" s="1" t="s">
        <v>845</v>
      </c>
      <c r="B227" s="1" t="s">
        <v>846</v>
      </c>
      <c r="C227" s="1" t="s">
        <v>348</v>
      </c>
      <c r="D227" s="1">
        <v>1933376</v>
      </c>
      <c r="E227" s="1">
        <v>50000</v>
      </c>
      <c r="F227" s="1">
        <v>14893</v>
      </c>
      <c r="G227" s="1">
        <v>346</v>
      </c>
      <c r="H227" s="1">
        <v>3.3565</v>
      </c>
      <c r="I227" s="1">
        <v>5587.79</v>
      </c>
      <c r="J227" s="1" t="s">
        <v>847</v>
      </c>
      <c r="K227" s="1">
        <v>4682</v>
      </c>
    </row>
    <row r="228" spans="1:11" x14ac:dyDescent="0.3">
      <c r="A228" s="1" t="s">
        <v>848</v>
      </c>
      <c r="B228" s="1" t="s">
        <v>849</v>
      </c>
      <c r="C228" s="1" t="s">
        <v>525</v>
      </c>
      <c r="D228" s="1">
        <v>35083</v>
      </c>
      <c r="E228" s="1">
        <v>867</v>
      </c>
      <c r="F228" s="1">
        <v>42</v>
      </c>
      <c r="G228" s="1">
        <v>70</v>
      </c>
      <c r="H228" s="1">
        <v>2.5910000000000002</v>
      </c>
      <c r="I228" s="1">
        <v>501.19</v>
      </c>
      <c r="J228" s="1" t="s">
        <v>850</v>
      </c>
      <c r="K228" s="1">
        <v>716</v>
      </c>
    </row>
    <row r="229" spans="1:11" x14ac:dyDescent="0.3">
      <c r="A229" s="1" t="s">
        <v>851</v>
      </c>
      <c r="B229" s="1" t="s">
        <v>852</v>
      </c>
      <c r="C229" s="1" t="s">
        <v>853</v>
      </c>
      <c r="D229" s="1">
        <v>691887</v>
      </c>
      <c r="E229" s="1">
        <v>0</v>
      </c>
      <c r="F229" s="1">
        <v>62</v>
      </c>
      <c r="G229" s="1">
        <v>154</v>
      </c>
      <c r="H229" s="1">
        <v>8.9999999999999993E-3</v>
      </c>
      <c r="I229" s="1">
        <v>4492.7700000000004</v>
      </c>
      <c r="J229" s="1" t="s">
        <v>854</v>
      </c>
      <c r="K229" s="1">
        <v>2044</v>
      </c>
    </row>
    <row r="230" spans="1:11" x14ac:dyDescent="0.3">
      <c r="A230" s="1" t="s">
        <v>855</v>
      </c>
      <c r="B230" s="1" t="s">
        <v>856</v>
      </c>
      <c r="C230" s="1" t="s">
        <v>783</v>
      </c>
      <c r="D230" s="1">
        <v>5272329</v>
      </c>
      <c r="E230" s="1">
        <v>23000</v>
      </c>
      <c r="F230" s="1">
        <v>765</v>
      </c>
      <c r="G230" s="1">
        <v>234</v>
      </c>
      <c r="H230" s="1">
        <v>0.45069999999999999</v>
      </c>
      <c r="I230" s="1">
        <v>22531.32</v>
      </c>
      <c r="J230" s="1" t="s">
        <v>857</v>
      </c>
      <c r="K230" s="1">
        <v>269</v>
      </c>
    </row>
    <row r="231" spans="1:11" x14ac:dyDescent="0.3">
      <c r="A231" s="1" t="s">
        <v>858</v>
      </c>
      <c r="B231" s="1" t="s">
        <v>859</v>
      </c>
      <c r="C231" s="1" t="s">
        <v>860</v>
      </c>
      <c r="D231" s="1">
        <v>204505</v>
      </c>
      <c r="E231" s="1">
        <v>10000</v>
      </c>
      <c r="F231" s="1">
        <v>607</v>
      </c>
      <c r="G231" s="1">
        <v>226</v>
      </c>
      <c r="H231" s="1">
        <v>5.1867000000000001</v>
      </c>
      <c r="I231" s="1">
        <v>904.89</v>
      </c>
      <c r="J231" s="1" t="s">
        <v>861</v>
      </c>
      <c r="K231" s="1">
        <v>1824</v>
      </c>
    </row>
    <row r="232" spans="1:11" x14ac:dyDescent="0.3">
      <c r="A232" s="1" t="s">
        <v>862</v>
      </c>
      <c r="B232" s="1" t="s">
        <v>863</v>
      </c>
      <c r="C232" s="1" t="s">
        <v>864</v>
      </c>
      <c r="D232" s="1">
        <v>17406466</v>
      </c>
      <c r="E232" s="1">
        <v>60000</v>
      </c>
      <c r="F232" s="1">
        <v>419</v>
      </c>
      <c r="G232" s="1">
        <v>297</v>
      </c>
      <c r="H232" s="1">
        <v>0.34710000000000002</v>
      </c>
      <c r="I232" s="1">
        <v>58607.63</v>
      </c>
      <c r="J232" s="1" t="s">
        <v>865</v>
      </c>
      <c r="K232" s="1">
        <v>366</v>
      </c>
    </row>
    <row r="233" spans="1:11" x14ac:dyDescent="0.3">
      <c r="A233" s="1" t="s">
        <v>866</v>
      </c>
      <c r="B233" s="1" t="s">
        <v>867</v>
      </c>
      <c r="C233" s="1" t="s">
        <v>868</v>
      </c>
      <c r="D233" s="1">
        <v>3962607</v>
      </c>
      <c r="E233" s="1">
        <v>56000</v>
      </c>
      <c r="F233" s="1">
        <v>6156</v>
      </c>
      <c r="G233" s="1">
        <v>402</v>
      </c>
      <c r="H233" s="1">
        <v>1.5686</v>
      </c>
      <c r="I233" s="1">
        <v>9857.23</v>
      </c>
      <c r="J233" s="1" t="s">
        <v>869</v>
      </c>
      <c r="K233" s="1">
        <v>461</v>
      </c>
    </row>
    <row r="234" spans="1:11" x14ac:dyDescent="0.3">
      <c r="A234" s="1" t="s">
        <v>870</v>
      </c>
      <c r="B234" s="1" t="s">
        <v>871</v>
      </c>
      <c r="C234" s="1" t="s">
        <v>872</v>
      </c>
      <c r="D234" s="1">
        <v>5230229</v>
      </c>
      <c r="E234" s="1">
        <v>9400</v>
      </c>
      <c r="F234" s="1">
        <v>108</v>
      </c>
      <c r="G234" s="1">
        <v>323</v>
      </c>
      <c r="H234" s="1">
        <v>0.18179999999999999</v>
      </c>
      <c r="I234" s="1">
        <v>16192.66</v>
      </c>
      <c r="J234" s="1" t="s">
        <v>873</v>
      </c>
      <c r="K234" s="1">
        <v>573</v>
      </c>
    </row>
    <row r="235" spans="1:11" x14ac:dyDescent="0.3">
      <c r="A235" s="1" t="s">
        <v>874</v>
      </c>
      <c r="B235" s="1" t="s">
        <v>875</v>
      </c>
      <c r="C235" s="1" t="s">
        <v>535</v>
      </c>
      <c r="D235" s="1">
        <v>577005</v>
      </c>
      <c r="E235" s="1">
        <v>14000</v>
      </c>
      <c r="F235" s="1">
        <v>1729</v>
      </c>
      <c r="G235" s="1">
        <v>164</v>
      </c>
      <c r="H235" s="1">
        <v>2.726</v>
      </c>
      <c r="I235" s="1">
        <v>3518.32</v>
      </c>
      <c r="J235" s="1" t="s">
        <v>876</v>
      </c>
      <c r="K235" s="1">
        <v>1985</v>
      </c>
    </row>
    <row r="236" spans="1:11" x14ac:dyDescent="0.3">
      <c r="A236" s="1" t="s">
        <v>877</v>
      </c>
      <c r="B236" s="1" t="s">
        <v>878</v>
      </c>
      <c r="C236" s="1" t="s">
        <v>412</v>
      </c>
      <c r="D236" s="1">
        <v>210148</v>
      </c>
      <c r="E236" s="1">
        <v>2300</v>
      </c>
      <c r="F236" s="1">
        <v>0</v>
      </c>
      <c r="G236" s="1">
        <v>3118</v>
      </c>
      <c r="H236" s="1">
        <v>1.0945</v>
      </c>
      <c r="I236" s="1">
        <v>67.400000000000006</v>
      </c>
      <c r="J236" s="1" t="s">
        <v>879</v>
      </c>
      <c r="K236" s="1">
        <v>520</v>
      </c>
    </row>
    <row r="237" spans="1:11" x14ac:dyDescent="0.3">
      <c r="A237" s="1" t="s">
        <v>880</v>
      </c>
      <c r="B237" s="1" t="s">
        <v>881</v>
      </c>
      <c r="C237" s="1" t="s">
        <v>882</v>
      </c>
      <c r="D237" s="1">
        <v>724866455</v>
      </c>
      <c r="E237" s="1">
        <v>1700000</v>
      </c>
      <c r="F237" s="1">
        <v>13879</v>
      </c>
      <c r="G237" s="1">
        <v>1447</v>
      </c>
      <c r="H237" s="1">
        <v>0.2364</v>
      </c>
      <c r="I237" s="1">
        <v>500944.34</v>
      </c>
      <c r="J237" s="1" t="s">
        <v>883</v>
      </c>
      <c r="K237" s="1">
        <v>1488</v>
      </c>
    </row>
    <row r="238" spans="1:11" x14ac:dyDescent="0.3">
      <c r="A238" s="1" t="s">
        <v>884</v>
      </c>
      <c r="B238" s="1" t="s">
        <v>885</v>
      </c>
      <c r="C238" s="1" t="s">
        <v>29</v>
      </c>
      <c r="D238" s="1">
        <v>1668886</v>
      </c>
      <c r="E238" s="1">
        <v>8900</v>
      </c>
      <c r="F238" s="1">
        <v>263</v>
      </c>
      <c r="G238" s="1">
        <v>127</v>
      </c>
      <c r="H238" s="1">
        <v>0.54900000000000004</v>
      </c>
      <c r="I238" s="1">
        <v>13140.83</v>
      </c>
      <c r="J238" s="1" t="s">
        <v>886</v>
      </c>
      <c r="K238" s="1">
        <v>1262</v>
      </c>
    </row>
    <row r="239" spans="1:11" x14ac:dyDescent="0.3">
      <c r="A239" s="1" t="s">
        <v>887</v>
      </c>
      <c r="B239" s="1" t="s">
        <v>888</v>
      </c>
      <c r="C239" s="1" t="s">
        <v>889</v>
      </c>
      <c r="D239" s="1">
        <v>267925</v>
      </c>
      <c r="E239" s="1">
        <v>2800</v>
      </c>
      <c r="F239" s="1">
        <v>72</v>
      </c>
      <c r="G239" s="1">
        <v>873</v>
      </c>
      <c r="H239" s="1">
        <v>1.0719000000000001</v>
      </c>
      <c r="I239" s="1">
        <v>306.89999999999998</v>
      </c>
      <c r="J239" s="1" t="s">
        <v>890</v>
      </c>
      <c r="K239" s="1">
        <v>2181</v>
      </c>
    </row>
    <row r="240" spans="1:11" x14ac:dyDescent="0.3">
      <c r="A240" s="1" t="s">
        <v>891</v>
      </c>
      <c r="B240" s="1" t="s">
        <v>892</v>
      </c>
      <c r="C240" s="1" t="s">
        <v>716</v>
      </c>
      <c r="D240" s="1">
        <v>6555318</v>
      </c>
      <c r="E240" s="1">
        <v>9900</v>
      </c>
      <c r="F240" s="1">
        <v>73</v>
      </c>
      <c r="G240" s="1">
        <v>553</v>
      </c>
      <c r="H240" s="1">
        <v>0.15210000000000001</v>
      </c>
      <c r="I240" s="1">
        <v>11854.1</v>
      </c>
      <c r="J240" s="1" t="s">
        <v>893</v>
      </c>
      <c r="K240" s="1">
        <v>0</v>
      </c>
    </row>
    <row r="241" spans="1:11" x14ac:dyDescent="0.3">
      <c r="A241" s="1" t="s">
        <v>894</v>
      </c>
      <c r="B241" s="1" t="s">
        <v>895</v>
      </c>
      <c r="C241" s="1" t="s">
        <v>896</v>
      </c>
      <c r="D241" s="1">
        <v>72043453</v>
      </c>
      <c r="E241" s="1">
        <v>276000</v>
      </c>
      <c r="F241" s="1">
        <v>3507</v>
      </c>
      <c r="G241" s="1">
        <v>236</v>
      </c>
      <c r="H241" s="1">
        <v>0.38800000000000001</v>
      </c>
      <c r="I241" s="1">
        <v>305268.87</v>
      </c>
      <c r="J241" s="1" t="s">
        <v>897</v>
      </c>
      <c r="K241" s="1">
        <v>535</v>
      </c>
    </row>
    <row r="242" spans="1:11" x14ac:dyDescent="0.3">
      <c r="A242" s="1" t="s">
        <v>898</v>
      </c>
      <c r="B242" s="1" t="s">
        <v>899</v>
      </c>
      <c r="C242" s="1" t="s">
        <v>900</v>
      </c>
      <c r="D242" s="1">
        <v>1431284</v>
      </c>
      <c r="E242" s="1">
        <v>35000</v>
      </c>
      <c r="F242" s="1">
        <v>5133</v>
      </c>
      <c r="G242" s="1">
        <v>190</v>
      </c>
      <c r="H242" s="1">
        <v>2.8039999999999998</v>
      </c>
      <c r="I242" s="1">
        <v>7533.07</v>
      </c>
      <c r="J242" s="1" t="s">
        <v>901</v>
      </c>
      <c r="K242" s="1">
        <v>1631</v>
      </c>
    </row>
    <row r="243" spans="1:11" x14ac:dyDescent="0.3">
      <c r="A243" s="1" t="s">
        <v>902</v>
      </c>
      <c r="B243" s="1" t="s">
        <v>903</v>
      </c>
      <c r="C243" s="1" t="s">
        <v>904</v>
      </c>
      <c r="D243" s="1">
        <v>1575632</v>
      </c>
      <c r="E243" s="1">
        <v>4600</v>
      </c>
      <c r="F243" s="1">
        <v>60</v>
      </c>
      <c r="G243" s="1">
        <v>14</v>
      </c>
      <c r="H243" s="1">
        <v>0.29580000000000001</v>
      </c>
      <c r="I243" s="1">
        <v>112545.14</v>
      </c>
      <c r="J243" s="1" t="s">
        <v>905</v>
      </c>
      <c r="K243" s="1">
        <v>539</v>
      </c>
    </row>
    <row r="244" spans="1:11" x14ac:dyDescent="0.3">
      <c r="A244" s="1" t="s">
        <v>906</v>
      </c>
      <c r="B244" s="1" t="s">
        <v>907</v>
      </c>
      <c r="C244" s="1" t="s">
        <v>716</v>
      </c>
      <c r="D244" s="1">
        <v>2034648</v>
      </c>
      <c r="E244" s="1">
        <v>1400</v>
      </c>
      <c r="F244" s="1">
        <v>15</v>
      </c>
      <c r="G244" s="1">
        <v>192</v>
      </c>
      <c r="H244" s="1">
        <v>6.9500000000000006E-2</v>
      </c>
      <c r="I244" s="1">
        <v>10597.12</v>
      </c>
      <c r="J244" s="1" t="s">
        <v>908</v>
      </c>
      <c r="K244" s="1">
        <v>0</v>
      </c>
    </row>
    <row r="245" spans="1:11" x14ac:dyDescent="0.3">
      <c r="A245" s="1" t="s">
        <v>909</v>
      </c>
      <c r="B245" s="1" t="s">
        <v>910</v>
      </c>
      <c r="C245" s="1" t="s">
        <v>911</v>
      </c>
      <c r="D245" s="1">
        <v>4044150</v>
      </c>
      <c r="E245" s="1">
        <v>7900</v>
      </c>
      <c r="F245" s="1">
        <v>123</v>
      </c>
      <c r="G245" s="1">
        <v>1233</v>
      </c>
      <c r="H245" s="1">
        <v>0.19839999999999999</v>
      </c>
      <c r="I245" s="1">
        <v>3279.93</v>
      </c>
      <c r="J245" s="1" t="s">
        <v>912</v>
      </c>
      <c r="K245" s="1">
        <v>0</v>
      </c>
    </row>
    <row r="246" spans="1:11" x14ac:dyDescent="0.3">
      <c r="A246" s="1" t="s">
        <v>913</v>
      </c>
      <c r="B246" s="1" t="s">
        <v>914</v>
      </c>
      <c r="C246" s="1" t="s">
        <v>915</v>
      </c>
      <c r="D246" s="1">
        <v>19218556</v>
      </c>
      <c r="E246" s="1">
        <v>67000</v>
      </c>
      <c r="F246" s="1">
        <v>3026</v>
      </c>
      <c r="G246" s="1">
        <v>906</v>
      </c>
      <c r="H246" s="1">
        <v>0.3644</v>
      </c>
      <c r="I246" s="1">
        <v>21212.53</v>
      </c>
      <c r="J246" s="1" t="s">
        <v>916</v>
      </c>
      <c r="K246" s="1">
        <v>212</v>
      </c>
    </row>
    <row r="247" spans="1:11" x14ac:dyDescent="0.3">
      <c r="A247" s="1" t="s">
        <v>917</v>
      </c>
      <c r="B247" s="1" t="s">
        <v>918</v>
      </c>
      <c r="C247" s="1" t="s">
        <v>919</v>
      </c>
      <c r="D247" s="1">
        <v>3536</v>
      </c>
      <c r="E247" s="1">
        <v>0</v>
      </c>
      <c r="F247" s="1">
        <v>0</v>
      </c>
      <c r="G247" s="1">
        <v>1</v>
      </c>
      <c r="H247" s="1">
        <v>0</v>
      </c>
      <c r="I247" s="1">
        <v>3536</v>
      </c>
      <c r="J247" s="1" t="s">
        <v>920</v>
      </c>
      <c r="K247" s="1">
        <v>74</v>
      </c>
    </row>
    <row r="248" spans="1:11" x14ac:dyDescent="0.3">
      <c r="A248" s="1" t="s">
        <v>921</v>
      </c>
      <c r="B248" s="1" t="s">
        <v>922</v>
      </c>
      <c r="C248" s="1" t="s">
        <v>716</v>
      </c>
      <c r="D248" s="1">
        <v>11002399</v>
      </c>
      <c r="E248" s="1">
        <v>11000</v>
      </c>
      <c r="F248" s="1">
        <v>108</v>
      </c>
      <c r="G248" s="1">
        <v>638</v>
      </c>
      <c r="H248" s="1">
        <v>0.10100000000000001</v>
      </c>
      <c r="I248" s="1">
        <v>17245.14</v>
      </c>
      <c r="J248" s="1" t="s">
        <v>923</v>
      </c>
      <c r="K248" s="1">
        <v>0</v>
      </c>
    </row>
    <row r="249" spans="1:11" x14ac:dyDescent="0.3">
      <c r="A249" s="1" t="s">
        <v>924</v>
      </c>
      <c r="B249" s="1" t="s">
        <v>925</v>
      </c>
      <c r="C249" s="1" t="s">
        <v>926</v>
      </c>
      <c r="D249" s="1">
        <v>1475650</v>
      </c>
      <c r="E249" s="1">
        <v>27000</v>
      </c>
      <c r="F249" s="1">
        <v>3725</v>
      </c>
      <c r="G249" s="1">
        <v>1009</v>
      </c>
      <c r="H249" s="1">
        <v>2.0821000000000001</v>
      </c>
      <c r="I249" s="1">
        <v>1462.49</v>
      </c>
      <c r="J249" s="1" t="s">
        <v>927</v>
      </c>
      <c r="K249" s="1">
        <v>1829</v>
      </c>
    </row>
    <row r="250" spans="1:11" x14ac:dyDescent="0.3">
      <c r="A250" s="1" t="s">
        <v>928</v>
      </c>
      <c r="B250" s="1" t="s">
        <v>929</v>
      </c>
      <c r="C250" s="1" t="s">
        <v>930</v>
      </c>
      <c r="D250" s="1">
        <v>236304113</v>
      </c>
      <c r="E250" s="1">
        <v>2400000</v>
      </c>
      <c r="F250" s="1">
        <v>18259</v>
      </c>
      <c r="G250" s="1">
        <v>755</v>
      </c>
      <c r="H250" s="1">
        <v>1.0234000000000001</v>
      </c>
      <c r="I250" s="1">
        <v>312985.58</v>
      </c>
      <c r="J250" s="1" t="s">
        <v>931</v>
      </c>
      <c r="K250" s="1">
        <v>0</v>
      </c>
    </row>
    <row r="251" spans="1:11" x14ac:dyDescent="0.3">
      <c r="A251" s="1" t="s">
        <v>932</v>
      </c>
      <c r="B251" s="1" t="s">
        <v>933</v>
      </c>
      <c r="C251" s="1" t="s">
        <v>934</v>
      </c>
      <c r="D251" s="1">
        <v>2138155337</v>
      </c>
      <c r="E251" s="1">
        <v>22000000</v>
      </c>
      <c r="F251" s="1">
        <v>0</v>
      </c>
      <c r="G251" s="1">
        <v>877</v>
      </c>
      <c r="H251" s="1">
        <v>1.0288999999999999</v>
      </c>
      <c r="I251" s="1">
        <v>2438033.4500000002</v>
      </c>
      <c r="J251" s="1" t="s">
        <v>935</v>
      </c>
      <c r="K251" s="1">
        <v>0</v>
      </c>
    </row>
    <row r="252" spans="1:11" x14ac:dyDescent="0.3">
      <c r="A252" s="1" t="s">
        <v>936</v>
      </c>
      <c r="B252" s="1" t="s">
        <v>937</v>
      </c>
      <c r="C252" s="1" t="s">
        <v>169</v>
      </c>
      <c r="D252" s="1">
        <v>3913060</v>
      </c>
      <c r="E252" s="1">
        <v>25000</v>
      </c>
      <c r="F252" s="1">
        <v>1021</v>
      </c>
      <c r="G252" s="1">
        <v>166</v>
      </c>
      <c r="H252" s="1">
        <v>0.66500000000000004</v>
      </c>
      <c r="I252" s="1">
        <v>23572.65</v>
      </c>
      <c r="J252" s="1" t="s">
        <v>938</v>
      </c>
      <c r="K252" s="1">
        <v>0</v>
      </c>
    </row>
    <row r="253" spans="1:11" x14ac:dyDescent="0.3">
      <c r="A253" s="1" t="s">
        <v>939</v>
      </c>
      <c r="B253" s="1" t="s">
        <v>940</v>
      </c>
      <c r="C253" s="1" t="s">
        <v>941</v>
      </c>
      <c r="D253" s="1">
        <v>243828452</v>
      </c>
      <c r="E253" s="1">
        <v>932000</v>
      </c>
      <c r="F253" s="1">
        <v>764</v>
      </c>
      <c r="G253" s="1">
        <v>199</v>
      </c>
      <c r="H253" s="1">
        <v>0.38250000000000001</v>
      </c>
      <c r="I253" s="1">
        <v>1225268.6000000001</v>
      </c>
      <c r="J253" s="1" t="s">
        <v>942</v>
      </c>
      <c r="K253" s="1">
        <v>659</v>
      </c>
    </row>
    <row r="254" spans="1:11" x14ac:dyDescent="0.3">
      <c r="A254" s="1" t="s">
        <v>943</v>
      </c>
      <c r="B254" s="1" t="s">
        <v>944</v>
      </c>
      <c r="C254" s="1" t="s">
        <v>945</v>
      </c>
      <c r="D254" s="1">
        <v>5786058</v>
      </c>
      <c r="E254" s="1">
        <v>116000</v>
      </c>
      <c r="F254" s="1">
        <v>1216</v>
      </c>
      <c r="G254" s="1">
        <v>218</v>
      </c>
      <c r="H254" s="1">
        <v>2.0257999999999998</v>
      </c>
      <c r="I254" s="1">
        <v>26541.55</v>
      </c>
      <c r="J254" s="1" t="s">
        <v>946</v>
      </c>
      <c r="K254" s="1">
        <v>0</v>
      </c>
    </row>
    <row r="255" spans="1:11" x14ac:dyDescent="0.3">
      <c r="A255" s="1" t="s">
        <v>947</v>
      </c>
      <c r="B255" s="1" t="s">
        <v>948</v>
      </c>
      <c r="C255" s="1" t="s">
        <v>949</v>
      </c>
      <c r="D255" s="1">
        <v>33791641</v>
      </c>
      <c r="E255" s="1">
        <v>345000</v>
      </c>
      <c r="F255" s="1">
        <v>1155</v>
      </c>
      <c r="G255" s="1">
        <v>1139</v>
      </c>
      <c r="H255" s="1">
        <v>1.0244</v>
      </c>
      <c r="I255" s="1">
        <v>29667.81</v>
      </c>
      <c r="J255" s="1" t="s">
        <v>950</v>
      </c>
      <c r="K255" s="1">
        <v>42</v>
      </c>
    </row>
    <row r="256" spans="1:11" x14ac:dyDescent="0.3">
      <c r="A256" s="1" t="s">
        <v>951</v>
      </c>
      <c r="B256" s="1" t="s">
        <v>952</v>
      </c>
      <c r="C256" s="1" t="s">
        <v>953</v>
      </c>
      <c r="D256" s="1">
        <v>12845998</v>
      </c>
      <c r="E256" s="1">
        <v>291000</v>
      </c>
      <c r="F256" s="1">
        <v>2579</v>
      </c>
      <c r="G256" s="1">
        <v>240</v>
      </c>
      <c r="H256" s="1">
        <v>2.2854000000000001</v>
      </c>
      <c r="I256" s="1">
        <v>53524.99</v>
      </c>
      <c r="J256" s="1" t="s">
        <v>954</v>
      </c>
      <c r="K256" s="1">
        <v>119</v>
      </c>
    </row>
    <row r="257" spans="1:11" x14ac:dyDescent="0.3">
      <c r="A257" s="1" t="s">
        <v>955</v>
      </c>
      <c r="B257" s="1" t="s">
        <v>956</v>
      </c>
      <c r="C257" s="1" t="s">
        <v>957</v>
      </c>
      <c r="D257" s="1">
        <v>103865235</v>
      </c>
      <c r="E257" s="1">
        <v>1000000</v>
      </c>
      <c r="F257" s="1">
        <v>8768</v>
      </c>
      <c r="G257" s="1">
        <v>443</v>
      </c>
      <c r="H257" s="1">
        <v>0.97119999999999995</v>
      </c>
      <c r="I257" s="1">
        <v>234458.77</v>
      </c>
      <c r="J257" s="1" t="s">
        <v>958</v>
      </c>
      <c r="K257" s="1">
        <v>777</v>
      </c>
    </row>
    <row r="258" spans="1:11" x14ac:dyDescent="0.3">
      <c r="A258" s="1" t="s">
        <v>959</v>
      </c>
      <c r="B258" s="1" t="s">
        <v>960</v>
      </c>
      <c r="C258" s="1" t="s">
        <v>961</v>
      </c>
      <c r="D258" s="1">
        <v>110704493</v>
      </c>
      <c r="E258" s="1">
        <v>1600000</v>
      </c>
      <c r="F258" s="1">
        <v>26110</v>
      </c>
      <c r="G258" s="1">
        <v>272</v>
      </c>
      <c r="H258" s="1">
        <v>1.4689000000000001</v>
      </c>
      <c r="I258" s="1">
        <v>407001.81</v>
      </c>
      <c r="J258" s="1" t="s">
        <v>962</v>
      </c>
      <c r="K258" s="1">
        <v>0</v>
      </c>
    </row>
    <row r="259" spans="1:11" x14ac:dyDescent="0.3">
      <c r="A259" s="1" t="s">
        <v>963</v>
      </c>
      <c r="B259" s="1" t="s">
        <v>964</v>
      </c>
      <c r="C259" s="1" t="s">
        <v>965</v>
      </c>
      <c r="D259" s="1">
        <v>94440221</v>
      </c>
      <c r="E259" s="1">
        <v>1100000</v>
      </c>
      <c r="F259" s="1">
        <v>2499</v>
      </c>
      <c r="G259" s="1">
        <v>149</v>
      </c>
      <c r="H259" s="1">
        <v>1.1674</v>
      </c>
      <c r="I259" s="1">
        <v>633826.99</v>
      </c>
      <c r="J259" s="1" t="s">
        <v>966</v>
      </c>
      <c r="K259" s="1">
        <v>0</v>
      </c>
    </row>
    <row r="260" spans="1:11" x14ac:dyDescent="0.3">
      <c r="A260" s="1" t="s">
        <v>967</v>
      </c>
      <c r="B260" s="1" t="s">
        <v>968</v>
      </c>
      <c r="C260" s="1" t="s">
        <v>969</v>
      </c>
      <c r="D260" s="1">
        <v>608493</v>
      </c>
      <c r="E260" s="1">
        <v>13000</v>
      </c>
      <c r="F260" s="1">
        <v>61</v>
      </c>
      <c r="G260" s="1">
        <v>3</v>
      </c>
      <c r="H260" s="1">
        <v>2.1465000000000001</v>
      </c>
      <c r="I260" s="1">
        <v>202831</v>
      </c>
      <c r="J260" s="1" t="s">
        <v>970</v>
      </c>
      <c r="K260" s="1">
        <v>0</v>
      </c>
    </row>
    <row r="261" spans="1:11" x14ac:dyDescent="0.3">
      <c r="A261" s="1" t="s">
        <v>971</v>
      </c>
      <c r="B261" s="1" t="s">
        <v>972</v>
      </c>
      <c r="C261" s="1" t="s">
        <v>973</v>
      </c>
      <c r="D261" s="1">
        <v>42194316</v>
      </c>
      <c r="E261" s="1">
        <v>811000</v>
      </c>
      <c r="F261" s="1">
        <v>6795</v>
      </c>
      <c r="G261" s="1">
        <v>234</v>
      </c>
      <c r="H261" s="1">
        <v>1.9381999999999999</v>
      </c>
      <c r="I261" s="1">
        <v>180317.59</v>
      </c>
      <c r="J261" s="1" t="s">
        <v>974</v>
      </c>
      <c r="K261" s="1">
        <v>47</v>
      </c>
    </row>
    <row r="262" spans="1:11" x14ac:dyDescent="0.3">
      <c r="A262" s="1" t="s">
        <v>975</v>
      </c>
      <c r="B262" s="1" t="s">
        <v>976</v>
      </c>
      <c r="C262" s="1" t="s">
        <v>977</v>
      </c>
      <c r="D262" s="1">
        <v>231507368</v>
      </c>
      <c r="E262" s="1">
        <v>4200000</v>
      </c>
      <c r="F262" s="1">
        <v>0</v>
      </c>
      <c r="G262" s="1">
        <v>1007</v>
      </c>
      <c r="H262" s="1">
        <v>1.8142</v>
      </c>
      <c r="I262" s="1">
        <v>229898.08</v>
      </c>
      <c r="J262" s="1" t="s">
        <v>978</v>
      </c>
      <c r="K262" s="1">
        <v>0</v>
      </c>
    </row>
    <row r="263" spans="1:11" x14ac:dyDescent="0.3">
      <c r="A263" s="1" t="s">
        <v>979</v>
      </c>
      <c r="B263" s="1" t="s">
        <v>980</v>
      </c>
      <c r="C263" s="1" t="s">
        <v>126</v>
      </c>
      <c r="D263" s="1">
        <v>19224657</v>
      </c>
      <c r="E263" s="1">
        <v>175000</v>
      </c>
      <c r="F263" s="1">
        <v>2593</v>
      </c>
      <c r="G263" s="1">
        <v>205</v>
      </c>
      <c r="H263" s="1">
        <v>0.92379999999999995</v>
      </c>
      <c r="I263" s="1">
        <v>93778.81</v>
      </c>
      <c r="J263" s="1" t="s">
        <v>981</v>
      </c>
      <c r="K263" s="1">
        <v>0</v>
      </c>
    </row>
    <row r="264" spans="1:11" x14ac:dyDescent="0.3">
      <c r="A264" s="1" t="s">
        <v>982</v>
      </c>
      <c r="B264" s="1" t="s">
        <v>983</v>
      </c>
      <c r="C264" s="1" t="s">
        <v>161</v>
      </c>
      <c r="D264" s="1">
        <v>189502449</v>
      </c>
      <c r="E264" s="1">
        <v>3000000</v>
      </c>
      <c r="F264" s="1">
        <v>5465</v>
      </c>
      <c r="G264" s="1">
        <v>1137</v>
      </c>
      <c r="H264" s="1">
        <v>1.5860000000000001</v>
      </c>
      <c r="I264" s="1">
        <v>166668.82</v>
      </c>
      <c r="J264" s="1" t="s">
        <v>984</v>
      </c>
      <c r="K264" s="1">
        <v>297</v>
      </c>
    </row>
    <row r="265" spans="1:11" x14ac:dyDescent="0.3">
      <c r="A265" s="1" t="s">
        <v>985</v>
      </c>
      <c r="B265" s="1" t="s">
        <v>986</v>
      </c>
      <c r="C265" s="1" t="s">
        <v>169</v>
      </c>
      <c r="D265" s="1">
        <v>7624669</v>
      </c>
      <c r="E265" s="1">
        <v>62000</v>
      </c>
      <c r="F265" s="1">
        <v>2598</v>
      </c>
      <c r="G265" s="1">
        <v>179</v>
      </c>
      <c r="H265" s="1">
        <v>0.84719999999999995</v>
      </c>
      <c r="I265" s="1">
        <v>42595.92</v>
      </c>
      <c r="J265" s="1" t="s">
        <v>987</v>
      </c>
      <c r="K265" s="1">
        <v>0</v>
      </c>
    </row>
    <row r="266" spans="1:11" x14ac:dyDescent="0.3">
      <c r="A266" s="1" t="s">
        <v>988</v>
      </c>
      <c r="B266" s="1" t="s">
        <v>989</v>
      </c>
      <c r="C266" s="1" t="s">
        <v>990</v>
      </c>
      <c r="D266" s="1">
        <v>687089438</v>
      </c>
      <c r="E266" s="1">
        <v>5400000</v>
      </c>
      <c r="F266" s="1">
        <v>4837</v>
      </c>
      <c r="G266" s="1">
        <v>309</v>
      </c>
      <c r="H266" s="1">
        <v>0.78659999999999997</v>
      </c>
      <c r="I266" s="1">
        <v>2223590.41</v>
      </c>
      <c r="J266" s="1" t="s">
        <v>991</v>
      </c>
      <c r="K266" s="1">
        <v>0</v>
      </c>
    </row>
    <row r="267" spans="1:11" x14ac:dyDescent="0.3">
      <c r="A267" s="1" t="s">
        <v>992</v>
      </c>
      <c r="B267" s="1" t="s">
        <v>993</v>
      </c>
      <c r="C267" s="1" t="s">
        <v>994</v>
      </c>
      <c r="D267" s="1">
        <v>568885082</v>
      </c>
      <c r="E267" s="1">
        <v>12000000</v>
      </c>
      <c r="F267" s="1">
        <v>58089</v>
      </c>
      <c r="G267" s="1">
        <v>778</v>
      </c>
      <c r="H267" s="1">
        <v>2.1196000000000002</v>
      </c>
      <c r="I267" s="1">
        <v>731214.76</v>
      </c>
      <c r="J267" s="1" t="s">
        <v>995</v>
      </c>
      <c r="K267" s="1">
        <v>0</v>
      </c>
    </row>
    <row r="268" spans="1:11" x14ac:dyDescent="0.3">
      <c r="A268" s="1" t="s">
        <v>996</v>
      </c>
      <c r="B268" s="1" t="s">
        <v>997</v>
      </c>
      <c r="C268" s="1" t="s">
        <v>998</v>
      </c>
      <c r="D268" s="1">
        <v>29239661</v>
      </c>
      <c r="E268" s="1">
        <v>0</v>
      </c>
      <c r="F268" s="1">
        <v>1016</v>
      </c>
      <c r="G268" s="1">
        <v>219</v>
      </c>
      <c r="H268" s="1">
        <v>3.5000000000000001E-3</v>
      </c>
      <c r="I268" s="1">
        <v>133514.43</v>
      </c>
      <c r="J268" s="1" t="s">
        <v>999</v>
      </c>
      <c r="K268" s="1">
        <v>0</v>
      </c>
    </row>
    <row r="269" spans="1:11" x14ac:dyDescent="0.3">
      <c r="A269" s="1" t="s">
        <v>1000</v>
      </c>
      <c r="B269" s="1" t="s">
        <v>1001</v>
      </c>
      <c r="C269" s="1" t="s">
        <v>1002</v>
      </c>
      <c r="D269" s="1">
        <v>131875371</v>
      </c>
      <c r="E269" s="1">
        <v>1300000</v>
      </c>
      <c r="F269" s="1">
        <v>4810</v>
      </c>
      <c r="G269" s="1">
        <v>508</v>
      </c>
      <c r="H269" s="1">
        <v>0.98939999999999995</v>
      </c>
      <c r="I269" s="1">
        <v>259597.19</v>
      </c>
      <c r="J269" s="1" t="s">
        <v>1003</v>
      </c>
      <c r="K269" s="1">
        <v>0</v>
      </c>
    </row>
    <row r="270" spans="1:11" x14ac:dyDescent="0.3">
      <c r="A270" s="1" t="s">
        <v>1004</v>
      </c>
      <c r="B270" s="1" t="s">
        <v>1005</v>
      </c>
      <c r="C270" s="1" t="s">
        <v>1006</v>
      </c>
      <c r="D270" s="1">
        <v>10775286</v>
      </c>
      <c r="E270" s="1">
        <v>93000</v>
      </c>
      <c r="F270" s="1">
        <v>161</v>
      </c>
      <c r="G270" s="1">
        <v>462</v>
      </c>
      <c r="H270" s="1">
        <v>0.86460000000000004</v>
      </c>
      <c r="I270" s="1">
        <v>23323.13</v>
      </c>
      <c r="J270" s="1" t="s">
        <v>1007</v>
      </c>
      <c r="K270" s="1">
        <v>0</v>
      </c>
    </row>
    <row r="271" spans="1:11" x14ac:dyDescent="0.3">
      <c r="A271" s="1" t="s">
        <v>1008</v>
      </c>
      <c r="B271" s="1" t="s">
        <v>1009</v>
      </c>
      <c r="C271" s="1" t="s">
        <v>1010</v>
      </c>
      <c r="D271" s="1">
        <v>3076520</v>
      </c>
      <c r="E271" s="1">
        <v>20000</v>
      </c>
      <c r="F271" s="1">
        <v>0</v>
      </c>
      <c r="G271" s="1">
        <v>4115</v>
      </c>
      <c r="H271" s="1">
        <v>0.65010000000000001</v>
      </c>
      <c r="I271" s="1">
        <v>747.64</v>
      </c>
      <c r="J271" s="1" t="s">
        <v>1011</v>
      </c>
      <c r="K271" s="1">
        <v>569</v>
      </c>
    </row>
    <row r="272" spans="1:11" x14ac:dyDescent="0.3">
      <c r="A272" s="1" t="s">
        <v>1012</v>
      </c>
      <c r="B272" s="1" t="s">
        <v>1013</v>
      </c>
      <c r="C272" s="1" t="s">
        <v>169</v>
      </c>
      <c r="D272" s="1">
        <v>24923250</v>
      </c>
      <c r="E272" s="1">
        <v>169000</v>
      </c>
      <c r="F272" s="1">
        <v>2602</v>
      </c>
      <c r="G272" s="1">
        <v>341</v>
      </c>
      <c r="H272" s="1">
        <v>0.6885</v>
      </c>
      <c r="I272" s="1">
        <v>73088.710000000006</v>
      </c>
      <c r="J272" s="1" t="s">
        <v>1014</v>
      </c>
      <c r="K272" s="1">
        <v>0</v>
      </c>
    </row>
    <row r="273" spans="1:11" x14ac:dyDescent="0.3">
      <c r="A273" s="1" t="s">
        <v>1015</v>
      </c>
      <c r="B273" s="1" t="s">
        <v>1016</v>
      </c>
      <c r="C273" s="1" t="s">
        <v>1017</v>
      </c>
      <c r="D273" s="1">
        <v>31352412</v>
      </c>
      <c r="E273" s="1">
        <v>548000</v>
      </c>
      <c r="F273" s="1">
        <v>4575</v>
      </c>
      <c r="G273" s="1">
        <v>297</v>
      </c>
      <c r="H273" s="1">
        <v>1.7625</v>
      </c>
      <c r="I273" s="1">
        <v>105563.68</v>
      </c>
      <c r="J273" s="1" t="s">
        <v>1018</v>
      </c>
      <c r="K273" s="1">
        <v>0</v>
      </c>
    </row>
    <row r="274" spans="1:11" x14ac:dyDescent="0.3">
      <c r="A274" s="1" t="s">
        <v>1019</v>
      </c>
      <c r="B274" s="1" t="s">
        <v>1020</v>
      </c>
      <c r="C274" s="1" t="s">
        <v>1021</v>
      </c>
      <c r="D274" s="1">
        <v>247169</v>
      </c>
      <c r="E274" s="1">
        <v>23000</v>
      </c>
      <c r="F274" s="1">
        <v>417</v>
      </c>
      <c r="G274" s="1">
        <v>1</v>
      </c>
      <c r="H274" s="1">
        <v>9.4741</v>
      </c>
      <c r="I274" s="1">
        <v>247169</v>
      </c>
      <c r="J274" s="1" t="s">
        <v>1022</v>
      </c>
      <c r="K274" s="1">
        <v>115</v>
      </c>
    </row>
    <row r="275" spans="1:11" x14ac:dyDescent="0.3">
      <c r="A275" s="1" t="s">
        <v>1023</v>
      </c>
      <c r="B275" s="1" t="s">
        <v>1024</v>
      </c>
      <c r="C275" s="1" t="s">
        <v>188</v>
      </c>
      <c r="D275" s="1">
        <v>4085634</v>
      </c>
      <c r="E275" s="1">
        <v>104000</v>
      </c>
      <c r="F275" s="1">
        <v>517</v>
      </c>
      <c r="G275" s="1">
        <v>1</v>
      </c>
      <c r="H275" s="1">
        <v>2.5581999999999998</v>
      </c>
      <c r="I275" s="1">
        <v>4085634</v>
      </c>
      <c r="J275" s="1" t="s">
        <v>1025</v>
      </c>
      <c r="K275" s="1">
        <v>37</v>
      </c>
    </row>
    <row r="276" spans="1:11" x14ac:dyDescent="0.3">
      <c r="A276" s="1" t="s">
        <v>1026</v>
      </c>
      <c r="B276" s="1" t="s">
        <v>1027</v>
      </c>
      <c r="C276" s="1" t="s">
        <v>320</v>
      </c>
      <c r="D276" s="1">
        <v>18617593</v>
      </c>
      <c r="E276" s="1">
        <v>161000</v>
      </c>
      <c r="F276" s="1">
        <v>3075</v>
      </c>
      <c r="G276" s="1">
        <v>515</v>
      </c>
      <c r="H276" s="1">
        <v>0.88129999999999997</v>
      </c>
      <c r="I276" s="1">
        <v>36150.67</v>
      </c>
      <c r="J276" s="1" t="s">
        <v>1028</v>
      </c>
      <c r="K276" s="1">
        <v>385</v>
      </c>
    </row>
    <row r="277" spans="1:11" x14ac:dyDescent="0.3">
      <c r="A277" s="1" t="s">
        <v>1029</v>
      </c>
      <c r="B277" s="1" t="s">
        <v>1030</v>
      </c>
      <c r="C277" s="1" t="s">
        <v>1031</v>
      </c>
      <c r="D277" s="1">
        <v>1262062063</v>
      </c>
      <c r="E277" s="1">
        <v>12000000</v>
      </c>
      <c r="F277" s="1">
        <v>0</v>
      </c>
      <c r="G277" s="1">
        <v>1081</v>
      </c>
      <c r="H277" s="1">
        <v>0.95079999999999998</v>
      </c>
      <c r="I277" s="1">
        <v>1167494.97</v>
      </c>
      <c r="J277" s="1" t="s">
        <v>1032</v>
      </c>
      <c r="K277" s="1">
        <v>1582</v>
      </c>
    </row>
    <row r="278" spans="1:11" x14ac:dyDescent="0.3">
      <c r="A278" s="1" t="s">
        <v>1033</v>
      </c>
      <c r="B278" s="1" t="s">
        <v>1034</v>
      </c>
      <c r="C278" s="1" t="s">
        <v>1035</v>
      </c>
      <c r="D278" s="1">
        <v>36495259</v>
      </c>
      <c r="E278" s="1">
        <v>796000</v>
      </c>
      <c r="F278" s="1">
        <v>3905</v>
      </c>
      <c r="G278" s="1">
        <v>434</v>
      </c>
      <c r="H278" s="1">
        <v>2.1918000000000002</v>
      </c>
      <c r="I278" s="1">
        <v>84090.46</v>
      </c>
      <c r="J278" s="1" t="s">
        <v>1036</v>
      </c>
      <c r="K278" s="1">
        <v>0</v>
      </c>
    </row>
    <row r="279" spans="1:11" x14ac:dyDescent="0.3">
      <c r="A279" s="1" t="s">
        <v>1037</v>
      </c>
      <c r="B279" s="1" t="s">
        <v>1038</v>
      </c>
      <c r="C279" s="1" t="s">
        <v>1039</v>
      </c>
      <c r="D279" s="1">
        <v>12443239</v>
      </c>
      <c r="E279" s="1">
        <v>286000</v>
      </c>
      <c r="F279" s="1">
        <v>386</v>
      </c>
      <c r="G279" s="1">
        <v>443</v>
      </c>
      <c r="H279" s="1">
        <v>2.3014999999999999</v>
      </c>
      <c r="I279" s="1">
        <v>28088.58</v>
      </c>
      <c r="J279" s="1" t="s">
        <v>1040</v>
      </c>
      <c r="K279" s="1">
        <v>559</v>
      </c>
    </row>
    <row r="280" spans="1:11" x14ac:dyDescent="0.3">
      <c r="A280" s="1" t="s">
        <v>1041</v>
      </c>
      <c r="B280" s="1" t="s">
        <v>1042</v>
      </c>
      <c r="C280" s="1" t="s">
        <v>1043</v>
      </c>
      <c r="D280" s="1">
        <v>14479</v>
      </c>
      <c r="E280" s="1">
        <v>100</v>
      </c>
      <c r="F280" s="1">
        <v>10</v>
      </c>
      <c r="G280" s="1">
        <v>3763</v>
      </c>
      <c r="H280" s="1">
        <v>0.75970000000000004</v>
      </c>
      <c r="I280" s="1">
        <v>3.85</v>
      </c>
      <c r="J280" s="1" t="s">
        <v>1044</v>
      </c>
      <c r="K280" s="1">
        <v>656</v>
      </c>
    </row>
    <row r="281" spans="1:11" x14ac:dyDescent="0.3">
      <c r="A281" s="1" t="s">
        <v>1045</v>
      </c>
      <c r="B281" s="1" t="s">
        <v>1046</v>
      </c>
      <c r="C281" s="1" t="s">
        <v>1047</v>
      </c>
      <c r="D281" s="1">
        <v>10042353</v>
      </c>
      <c r="E281" s="1">
        <v>267000</v>
      </c>
      <c r="F281" s="1">
        <v>437</v>
      </c>
      <c r="G281" s="1">
        <v>246</v>
      </c>
      <c r="H281" s="1">
        <v>2.6631</v>
      </c>
      <c r="I281" s="1">
        <v>40822.57</v>
      </c>
      <c r="J281" s="1" t="s">
        <v>1048</v>
      </c>
      <c r="K281" s="1">
        <v>0</v>
      </c>
    </row>
    <row r="282" spans="1:11" x14ac:dyDescent="0.3">
      <c r="A282" s="1" t="s">
        <v>1049</v>
      </c>
      <c r="B282" s="1" t="s">
        <v>1050</v>
      </c>
      <c r="C282" s="1" t="s">
        <v>1051</v>
      </c>
      <c r="D282" s="1">
        <v>131441186</v>
      </c>
      <c r="E282" s="1">
        <v>1000000</v>
      </c>
      <c r="F282" s="1">
        <v>3272</v>
      </c>
      <c r="G282" s="1">
        <v>389</v>
      </c>
      <c r="H282" s="1">
        <v>0.76329999999999998</v>
      </c>
      <c r="I282" s="1">
        <v>337895.08</v>
      </c>
      <c r="J282" s="1" t="s">
        <v>1052</v>
      </c>
      <c r="K282" s="1">
        <v>34</v>
      </c>
    </row>
    <row r="283" spans="1:11" x14ac:dyDescent="0.3">
      <c r="A283" s="1" t="s">
        <v>1053</v>
      </c>
      <c r="B283" s="1" t="s">
        <v>1054</v>
      </c>
      <c r="C283" s="1" t="s">
        <v>1055</v>
      </c>
      <c r="D283" s="1">
        <v>1911454</v>
      </c>
      <c r="E283" s="1">
        <v>51000</v>
      </c>
      <c r="F283" s="1">
        <v>614</v>
      </c>
      <c r="G283" s="1">
        <v>21</v>
      </c>
      <c r="H283" s="1">
        <v>2.7002000000000002</v>
      </c>
      <c r="I283" s="1">
        <v>91021.62</v>
      </c>
      <c r="J283" s="1" t="s">
        <v>1056</v>
      </c>
      <c r="K283" s="1">
        <v>0</v>
      </c>
    </row>
    <row r="284" spans="1:11" x14ac:dyDescent="0.3">
      <c r="A284" s="1" t="s">
        <v>1057</v>
      </c>
      <c r="B284" s="1" t="s">
        <v>1058</v>
      </c>
      <c r="C284" s="1" t="s">
        <v>1059</v>
      </c>
      <c r="D284" s="1">
        <v>46105291</v>
      </c>
      <c r="E284" s="1">
        <v>866000</v>
      </c>
      <c r="F284" s="1">
        <v>1623</v>
      </c>
      <c r="G284" s="1">
        <v>529</v>
      </c>
      <c r="H284" s="1">
        <v>1.8817999999999999</v>
      </c>
      <c r="I284" s="1">
        <v>87155.56</v>
      </c>
      <c r="J284" s="1" t="s">
        <v>1060</v>
      </c>
      <c r="K284" s="1">
        <v>0</v>
      </c>
    </row>
    <row r="285" spans="1:11" x14ac:dyDescent="0.3">
      <c r="A285" s="1" t="s">
        <v>1061</v>
      </c>
      <c r="B285" s="1" t="s">
        <v>1062</v>
      </c>
      <c r="C285" s="1" t="s">
        <v>1063</v>
      </c>
      <c r="D285" s="1">
        <v>7864397</v>
      </c>
      <c r="E285" s="1">
        <v>28000</v>
      </c>
      <c r="F285" s="1">
        <v>269</v>
      </c>
      <c r="G285" s="1">
        <v>301</v>
      </c>
      <c r="H285" s="1">
        <v>0.35949999999999999</v>
      </c>
      <c r="I285" s="1">
        <v>26127.56</v>
      </c>
      <c r="J285" s="1" t="s">
        <v>1064</v>
      </c>
      <c r="K285" s="1">
        <v>484</v>
      </c>
    </row>
    <row r="286" spans="1:11" x14ac:dyDescent="0.3">
      <c r="A286" s="1" t="s">
        <v>1065</v>
      </c>
      <c r="B286" s="1" t="s">
        <v>1066</v>
      </c>
      <c r="C286" s="1" t="s">
        <v>188</v>
      </c>
      <c r="D286" s="1">
        <v>204398791</v>
      </c>
      <c r="E286" s="1">
        <v>2000000</v>
      </c>
      <c r="F286" s="1">
        <v>2665</v>
      </c>
      <c r="G286" s="1">
        <v>169</v>
      </c>
      <c r="H286" s="1">
        <v>0.9798</v>
      </c>
      <c r="I286" s="1">
        <v>1209460.3</v>
      </c>
      <c r="J286" s="1" t="s">
        <v>1067</v>
      </c>
      <c r="K286" s="1">
        <v>35</v>
      </c>
    </row>
    <row r="287" spans="1:11" x14ac:dyDescent="0.3">
      <c r="A287" s="1" t="s">
        <v>1068</v>
      </c>
      <c r="B287" s="1" t="s">
        <v>1069</v>
      </c>
      <c r="C287" s="1" t="s">
        <v>29</v>
      </c>
      <c r="D287" s="1">
        <v>2708078</v>
      </c>
      <c r="E287" s="1">
        <v>14000</v>
      </c>
      <c r="F287" s="1">
        <v>543</v>
      </c>
      <c r="G287" s="1">
        <v>267</v>
      </c>
      <c r="H287" s="1">
        <v>0.53700000000000003</v>
      </c>
      <c r="I287" s="1">
        <v>10142.61</v>
      </c>
      <c r="J287" s="1" t="s">
        <v>1070</v>
      </c>
      <c r="K287" s="1">
        <v>1235</v>
      </c>
    </row>
    <row r="288" spans="1:11" x14ac:dyDescent="0.3">
      <c r="A288" s="1" t="s">
        <v>1071</v>
      </c>
      <c r="B288" s="1" t="s">
        <v>1072</v>
      </c>
      <c r="C288" s="1" t="s">
        <v>1073</v>
      </c>
      <c r="D288" s="1">
        <v>1830800</v>
      </c>
      <c r="E288" s="1">
        <v>29000</v>
      </c>
      <c r="F288" s="1">
        <v>898</v>
      </c>
      <c r="G288" s="1">
        <v>1106</v>
      </c>
      <c r="H288" s="1">
        <v>1.6331</v>
      </c>
      <c r="I288" s="1">
        <v>1655.33</v>
      </c>
      <c r="J288" s="1" t="s">
        <v>1074</v>
      </c>
      <c r="K288" s="1">
        <v>624</v>
      </c>
    </row>
    <row r="289" spans="1:11" x14ac:dyDescent="0.3">
      <c r="A289" s="1" t="s">
        <v>1075</v>
      </c>
      <c r="B289" s="1" t="s">
        <v>1076</v>
      </c>
      <c r="C289" s="1" t="s">
        <v>1077</v>
      </c>
      <c r="D289" s="1">
        <v>11074</v>
      </c>
      <c r="E289" s="1">
        <v>839</v>
      </c>
      <c r="F289" s="1">
        <v>24</v>
      </c>
      <c r="G289" s="1">
        <v>1</v>
      </c>
      <c r="H289" s="1">
        <v>7.7930000000000001</v>
      </c>
      <c r="I289" s="1">
        <v>11074</v>
      </c>
      <c r="J289" s="1" t="s">
        <v>1078</v>
      </c>
      <c r="K289" s="1">
        <v>463</v>
      </c>
    </row>
    <row r="290" spans="1:11" x14ac:dyDescent="0.3">
      <c r="A290" s="1" t="s">
        <v>1079</v>
      </c>
      <c r="B290" s="1" t="s">
        <v>1080</v>
      </c>
      <c r="C290" s="1" t="s">
        <v>1081</v>
      </c>
      <c r="D290" s="1">
        <v>40768</v>
      </c>
      <c r="E290" s="1">
        <v>216</v>
      </c>
      <c r="F290" s="1">
        <v>2</v>
      </c>
      <c r="G290" s="1">
        <v>1</v>
      </c>
      <c r="H290" s="1">
        <v>0.53469999999999995</v>
      </c>
      <c r="I290" s="1">
        <v>40768</v>
      </c>
      <c r="J290" s="1" t="s">
        <v>1082</v>
      </c>
      <c r="K290" s="1">
        <v>0</v>
      </c>
    </row>
    <row r="291" spans="1:11" x14ac:dyDescent="0.3">
      <c r="A291" s="1" t="s">
        <v>1083</v>
      </c>
      <c r="B291" s="1" t="s">
        <v>1084</v>
      </c>
      <c r="C291" s="1" t="s">
        <v>1085</v>
      </c>
      <c r="D291" s="1">
        <v>17441151</v>
      </c>
      <c r="E291" s="1">
        <v>30000</v>
      </c>
      <c r="F291" s="1">
        <v>1405</v>
      </c>
      <c r="G291" s="1">
        <v>181</v>
      </c>
      <c r="H291" s="1">
        <v>0.18010000000000001</v>
      </c>
      <c r="I291" s="1">
        <v>96359.95</v>
      </c>
      <c r="J291" s="1" t="s">
        <v>1086</v>
      </c>
      <c r="K291" s="1">
        <v>0</v>
      </c>
    </row>
    <row r="292" spans="1:11" x14ac:dyDescent="0.3">
      <c r="A292" s="1" t="s">
        <v>1087</v>
      </c>
      <c r="B292" s="1" t="s">
        <v>1088</v>
      </c>
      <c r="C292" s="1" t="s">
        <v>1089</v>
      </c>
      <c r="D292" s="1">
        <v>6301804</v>
      </c>
      <c r="E292" s="1">
        <v>117000</v>
      </c>
      <c r="F292" s="1">
        <v>337</v>
      </c>
      <c r="G292" s="1">
        <v>473</v>
      </c>
      <c r="H292" s="1">
        <v>1.8620000000000001</v>
      </c>
      <c r="I292" s="1">
        <v>13323.05</v>
      </c>
      <c r="J292" s="1" t="s">
        <v>1090</v>
      </c>
      <c r="K292" s="1">
        <v>266</v>
      </c>
    </row>
    <row r="293" spans="1:11" x14ac:dyDescent="0.3">
      <c r="A293" s="1" t="s">
        <v>1091</v>
      </c>
      <c r="B293" s="1" t="s">
        <v>1092</v>
      </c>
      <c r="C293" s="1" t="s">
        <v>412</v>
      </c>
      <c r="D293" s="1">
        <v>5428</v>
      </c>
      <c r="E293" s="1">
        <v>32</v>
      </c>
      <c r="F293" s="1">
        <v>1</v>
      </c>
      <c r="G293" s="1">
        <v>3644</v>
      </c>
      <c r="H293" s="1">
        <v>0.60799999999999998</v>
      </c>
      <c r="I293" s="1">
        <v>1.49</v>
      </c>
      <c r="J293" s="1" t="s">
        <v>1093</v>
      </c>
      <c r="K293" s="1">
        <v>657</v>
      </c>
    </row>
    <row r="294" spans="1:11" x14ac:dyDescent="0.3">
      <c r="A294" s="1" t="s">
        <v>1094</v>
      </c>
      <c r="B294" s="1" t="s">
        <v>1095</v>
      </c>
      <c r="C294" s="1" t="s">
        <v>1096</v>
      </c>
      <c r="D294" s="1">
        <v>16833928</v>
      </c>
      <c r="E294" s="1">
        <v>152000</v>
      </c>
      <c r="F294" s="1">
        <v>15579</v>
      </c>
      <c r="G294" s="1">
        <v>1040</v>
      </c>
      <c r="H294" s="1">
        <v>0.99550000000000005</v>
      </c>
      <c r="I294" s="1">
        <v>16186.47</v>
      </c>
      <c r="J294" s="1" t="s">
        <v>1097</v>
      </c>
      <c r="K294" s="1">
        <v>0</v>
      </c>
    </row>
    <row r="295" spans="1:11" x14ac:dyDescent="0.3">
      <c r="A295" s="1" t="s">
        <v>1098</v>
      </c>
      <c r="B295" s="1" t="s">
        <v>1099</v>
      </c>
      <c r="C295" s="1" t="s">
        <v>1100</v>
      </c>
      <c r="D295" s="1">
        <v>56574273</v>
      </c>
      <c r="E295" s="1">
        <v>776000</v>
      </c>
      <c r="F295" s="1">
        <v>1738</v>
      </c>
      <c r="G295" s="1">
        <v>154</v>
      </c>
      <c r="H295" s="1">
        <v>1.3747</v>
      </c>
      <c r="I295" s="1">
        <v>367365.41</v>
      </c>
      <c r="J295" s="1" t="s">
        <v>1101</v>
      </c>
      <c r="K295" s="1">
        <v>0</v>
      </c>
    </row>
    <row r="296" spans="1:11" x14ac:dyDescent="0.3">
      <c r="A296" s="1" t="s">
        <v>1102</v>
      </c>
      <c r="B296" s="1" t="s">
        <v>1103</v>
      </c>
      <c r="C296" s="1" t="s">
        <v>1104</v>
      </c>
      <c r="D296" s="1">
        <v>178091</v>
      </c>
      <c r="E296" s="1">
        <v>466</v>
      </c>
      <c r="F296" s="1">
        <v>8</v>
      </c>
      <c r="G296" s="1">
        <v>11</v>
      </c>
      <c r="H296" s="1">
        <v>0.26619999999999999</v>
      </c>
      <c r="I296" s="1">
        <v>16190.09</v>
      </c>
      <c r="J296" s="1" t="s">
        <v>1105</v>
      </c>
      <c r="K296" s="1">
        <v>1175</v>
      </c>
    </row>
    <row r="297" spans="1:11" x14ac:dyDescent="0.3">
      <c r="A297" s="1" t="s">
        <v>1106</v>
      </c>
      <c r="B297" s="1" t="s">
        <v>1107</v>
      </c>
      <c r="C297" s="1" t="s">
        <v>1108</v>
      </c>
      <c r="D297" s="1">
        <v>820442</v>
      </c>
      <c r="E297" s="1">
        <v>8400</v>
      </c>
      <c r="F297" s="1">
        <v>186</v>
      </c>
      <c r="G297" s="1">
        <v>25</v>
      </c>
      <c r="H297" s="1">
        <v>1.0465</v>
      </c>
      <c r="I297" s="1">
        <v>32817.68</v>
      </c>
      <c r="J297" s="1" t="s">
        <v>1109</v>
      </c>
      <c r="K297" s="1">
        <v>949</v>
      </c>
    </row>
    <row r="298" spans="1:11" x14ac:dyDescent="0.3">
      <c r="A298" s="1" t="s">
        <v>1110</v>
      </c>
      <c r="B298" s="1" t="s">
        <v>1111</v>
      </c>
      <c r="C298" s="1" t="s">
        <v>1112</v>
      </c>
      <c r="D298" s="1">
        <v>89441</v>
      </c>
      <c r="E298" s="1">
        <v>590</v>
      </c>
      <c r="F298" s="1">
        <v>8</v>
      </c>
      <c r="G298" s="1">
        <v>1</v>
      </c>
      <c r="H298" s="1">
        <v>0.66859999999999997</v>
      </c>
      <c r="I298" s="1">
        <v>89441</v>
      </c>
      <c r="J298" s="1" t="s">
        <v>1113</v>
      </c>
      <c r="K298" s="1">
        <v>0</v>
      </c>
    </row>
    <row r="299" spans="1:11" x14ac:dyDescent="0.3">
      <c r="A299" s="1" t="s">
        <v>1114</v>
      </c>
      <c r="B299" s="1" t="s">
        <v>1115</v>
      </c>
      <c r="C299" s="1" t="s">
        <v>1116</v>
      </c>
      <c r="D299" s="1">
        <v>5632873</v>
      </c>
      <c r="E299" s="1">
        <v>8200</v>
      </c>
      <c r="F299" s="1">
        <v>37</v>
      </c>
      <c r="G299" s="1">
        <v>884</v>
      </c>
      <c r="H299" s="1">
        <v>0.1462</v>
      </c>
      <c r="I299" s="1">
        <v>6372.03</v>
      </c>
      <c r="J299" s="1" t="s">
        <v>1117</v>
      </c>
      <c r="K299" s="1">
        <v>0</v>
      </c>
    </row>
    <row r="300" spans="1:11" x14ac:dyDescent="0.3">
      <c r="A300" s="1" t="s">
        <v>1118</v>
      </c>
      <c r="B300" s="1" t="s">
        <v>1119</v>
      </c>
      <c r="C300" s="1" t="s">
        <v>383</v>
      </c>
      <c r="D300" s="1">
        <v>9322</v>
      </c>
      <c r="E300" s="1">
        <v>129</v>
      </c>
      <c r="F300" s="1">
        <v>7</v>
      </c>
      <c r="G300" s="1">
        <v>163</v>
      </c>
      <c r="H300" s="1">
        <v>1.4589000000000001</v>
      </c>
      <c r="I300" s="1">
        <v>57.19</v>
      </c>
      <c r="J300" s="1" t="s">
        <v>1120</v>
      </c>
      <c r="K300" s="1">
        <v>0</v>
      </c>
    </row>
    <row r="301" spans="1:11" x14ac:dyDescent="0.3">
      <c r="A301" s="1" t="s">
        <v>1121</v>
      </c>
      <c r="B301" s="1" t="s">
        <v>1122</v>
      </c>
      <c r="C301" s="1" t="s">
        <v>1123</v>
      </c>
      <c r="D301" s="1">
        <v>40286730</v>
      </c>
      <c r="E301" s="1">
        <v>120000</v>
      </c>
      <c r="F301" s="1">
        <v>6280</v>
      </c>
      <c r="G301" s="1">
        <v>199</v>
      </c>
      <c r="H301" s="1">
        <v>0.3135</v>
      </c>
      <c r="I301" s="1">
        <v>202445.88</v>
      </c>
      <c r="J301" s="1" t="s">
        <v>1124</v>
      </c>
      <c r="K301" s="1">
        <v>522</v>
      </c>
    </row>
    <row r="302" spans="1:11" x14ac:dyDescent="0.3">
      <c r="A302" s="1" t="s">
        <v>1125</v>
      </c>
      <c r="B302" s="1" t="s">
        <v>677</v>
      </c>
      <c r="C302" s="1" t="s">
        <v>1126</v>
      </c>
      <c r="D302" s="1">
        <v>590881</v>
      </c>
      <c r="E302" s="1">
        <v>13000</v>
      </c>
      <c r="F302" s="1">
        <v>1433</v>
      </c>
      <c r="G302" s="1">
        <v>263</v>
      </c>
      <c r="H302" s="1">
        <v>2.4426000000000001</v>
      </c>
      <c r="I302" s="1">
        <v>2246.6999999999998</v>
      </c>
      <c r="J302" s="1" t="s">
        <v>1127</v>
      </c>
      <c r="K302" s="1">
        <v>3508</v>
      </c>
    </row>
    <row r="303" spans="1:11" x14ac:dyDescent="0.3">
      <c r="A303" s="1" t="s">
        <v>1128</v>
      </c>
      <c r="B303" s="1" t="s">
        <v>1129</v>
      </c>
      <c r="C303" s="1" t="s">
        <v>1130</v>
      </c>
      <c r="D303" s="1">
        <v>64342959</v>
      </c>
      <c r="E303" s="1">
        <v>651000</v>
      </c>
      <c r="F303" s="1">
        <v>736</v>
      </c>
      <c r="G303" s="1">
        <v>228</v>
      </c>
      <c r="H303" s="1">
        <v>1.0128999999999999</v>
      </c>
      <c r="I303" s="1">
        <v>282205.96000000002</v>
      </c>
      <c r="J303" s="1" t="s">
        <v>1131</v>
      </c>
      <c r="K303" s="1">
        <v>291</v>
      </c>
    </row>
    <row r="304" spans="1:11" x14ac:dyDescent="0.3">
      <c r="A304" s="1" t="s">
        <v>1132</v>
      </c>
      <c r="B304" s="1" t="s">
        <v>1133</v>
      </c>
      <c r="C304" s="1" t="s">
        <v>1043</v>
      </c>
      <c r="D304" s="1">
        <v>8101</v>
      </c>
      <c r="E304" s="1">
        <v>60</v>
      </c>
      <c r="F304" s="1">
        <v>5</v>
      </c>
      <c r="G304" s="1">
        <v>3598</v>
      </c>
      <c r="H304" s="1">
        <v>0.8024</v>
      </c>
      <c r="I304" s="1">
        <v>2.25</v>
      </c>
      <c r="J304" s="1" t="s">
        <v>1134</v>
      </c>
      <c r="K304" s="1">
        <v>1300</v>
      </c>
    </row>
    <row r="305" spans="1:11" x14ac:dyDescent="0.3">
      <c r="A305" s="1" t="s">
        <v>1135</v>
      </c>
      <c r="B305" s="1" t="s">
        <v>1136</v>
      </c>
      <c r="C305" s="1" t="s">
        <v>1137</v>
      </c>
      <c r="D305" s="1">
        <v>193468</v>
      </c>
      <c r="E305" s="1">
        <v>0</v>
      </c>
      <c r="F305" s="1">
        <v>2</v>
      </c>
      <c r="G305" s="1">
        <v>1</v>
      </c>
      <c r="H305" s="1">
        <v>1E-3</v>
      </c>
      <c r="I305" s="1">
        <v>193468</v>
      </c>
      <c r="J305" s="1" t="s">
        <v>1138</v>
      </c>
      <c r="K305" s="1">
        <v>56</v>
      </c>
    </row>
    <row r="306" spans="1:11" x14ac:dyDescent="0.3">
      <c r="A306" s="1" t="s">
        <v>1139</v>
      </c>
      <c r="B306" s="1" t="s">
        <v>1140</v>
      </c>
      <c r="C306" s="1" t="s">
        <v>1141</v>
      </c>
      <c r="D306" s="1">
        <v>70213787</v>
      </c>
      <c r="E306" s="1">
        <v>215000</v>
      </c>
      <c r="F306" s="1">
        <v>1139</v>
      </c>
      <c r="G306" s="1">
        <v>1308</v>
      </c>
      <c r="H306" s="1">
        <v>0.30780000000000002</v>
      </c>
      <c r="I306" s="1">
        <v>53680.27</v>
      </c>
      <c r="J306" s="1" t="s">
        <v>1142</v>
      </c>
      <c r="K306" s="1">
        <v>1222</v>
      </c>
    </row>
    <row r="307" spans="1:11" x14ac:dyDescent="0.3">
      <c r="A307" s="1" t="s">
        <v>1143</v>
      </c>
      <c r="B307" s="1" t="s">
        <v>1144</v>
      </c>
      <c r="C307" s="1" t="s">
        <v>1145</v>
      </c>
      <c r="D307" s="1">
        <v>43333937</v>
      </c>
      <c r="E307" s="1">
        <v>612000</v>
      </c>
      <c r="F307" s="1">
        <v>1654</v>
      </c>
      <c r="G307" s="1">
        <v>196</v>
      </c>
      <c r="H307" s="1">
        <v>1.4160999999999999</v>
      </c>
      <c r="I307" s="1">
        <v>221091.52</v>
      </c>
      <c r="J307" s="1" t="s">
        <v>1146</v>
      </c>
      <c r="K307" s="1">
        <v>0</v>
      </c>
    </row>
    <row r="308" spans="1:11" x14ac:dyDescent="0.3">
      <c r="A308" s="1" t="s">
        <v>1147</v>
      </c>
      <c r="B308" s="1" t="s">
        <v>1148</v>
      </c>
      <c r="C308" s="1" t="s">
        <v>1149</v>
      </c>
      <c r="D308" s="1">
        <v>15029297</v>
      </c>
      <c r="E308" s="1">
        <v>276000</v>
      </c>
      <c r="F308" s="1">
        <v>848</v>
      </c>
      <c r="G308" s="1">
        <v>169</v>
      </c>
      <c r="H308" s="1">
        <v>1.8421000000000001</v>
      </c>
      <c r="I308" s="1">
        <v>88930.75</v>
      </c>
      <c r="J308" s="1" t="s">
        <v>1150</v>
      </c>
      <c r="K308" s="1">
        <v>0</v>
      </c>
    </row>
    <row r="309" spans="1:11" x14ac:dyDescent="0.3">
      <c r="A309" s="1" t="s">
        <v>1151</v>
      </c>
      <c r="B309" s="1" t="s">
        <v>1152</v>
      </c>
      <c r="C309" s="1" t="s">
        <v>1123</v>
      </c>
      <c r="D309" s="1">
        <v>10531242</v>
      </c>
      <c r="E309" s="1">
        <v>18000</v>
      </c>
      <c r="F309" s="1">
        <v>965</v>
      </c>
      <c r="G309" s="1">
        <v>130</v>
      </c>
      <c r="H309" s="1">
        <v>0.18010000000000001</v>
      </c>
      <c r="I309" s="1">
        <v>81009.55</v>
      </c>
      <c r="J309" s="1" t="s">
        <v>1153</v>
      </c>
      <c r="K309" s="1">
        <v>522</v>
      </c>
    </row>
    <row r="310" spans="1:11" x14ac:dyDescent="0.3">
      <c r="A310" s="1" t="s">
        <v>1154</v>
      </c>
      <c r="B310" s="1" t="s">
        <v>1155</v>
      </c>
      <c r="C310" s="1" t="s">
        <v>412</v>
      </c>
      <c r="D310" s="1">
        <v>636661</v>
      </c>
      <c r="E310" s="1">
        <v>673</v>
      </c>
      <c r="F310" s="1">
        <v>7</v>
      </c>
      <c r="G310" s="1">
        <v>3637</v>
      </c>
      <c r="H310" s="1">
        <v>0.10680000000000001</v>
      </c>
      <c r="I310" s="1">
        <v>175.05</v>
      </c>
      <c r="J310" s="1" t="s">
        <v>1156</v>
      </c>
      <c r="K310" s="1">
        <v>752</v>
      </c>
    </row>
    <row r="311" spans="1:11" x14ac:dyDescent="0.3">
      <c r="A311" s="1" t="s">
        <v>1157</v>
      </c>
      <c r="B311" s="1" t="s">
        <v>1158</v>
      </c>
      <c r="C311" s="1" t="s">
        <v>1159</v>
      </c>
      <c r="D311" s="1">
        <v>2585</v>
      </c>
      <c r="E311" s="1">
        <v>11</v>
      </c>
      <c r="F311" s="1">
        <v>0</v>
      </c>
      <c r="G311" s="1">
        <v>4723</v>
      </c>
      <c r="H311" s="1">
        <v>0.42549999999999999</v>
      </c>
      <c r="I311" s="1">
        <v>0.55000000000000004</v>
      </c>
      <c r="J311" s="1" t="s">
        <v>1160</v>
      </c>
      <c r="K311" s="1">
        <v>679</v>
      </c>
    </row>
    <row r="312" spans="1:11" x14ac:dyDescent="0.3">
      <c r="A312" s="1" t="s">
        <v>1161</v>
      </c>
      <c r="B312" s="1" t="s">
        <v>1162</v>
      </c>
      <c r="C312" s="1" t="s">
        <v>1163</v>
      </c>
      <c r="D312" s="1">
        <v>30819</v>
      </c>
      <c r="E312" s="1">
        <v>229</v>
      </c>
      <c r="F312" s="1">
        <v>5</v>
      </c>
      <c r="G312" s="1">
        <v>879</v>
      </c>
      <c r="H312" s="1">
        <v>0.75929999999999997</v>
      </c>
      <c r="I312" s="1">
        <v>35.06</v>
      </c>
      <c r="J312" s="1" t="s">
        <v>1164</v>
      </c>
      <c r="K312" s="1">
        <v>708</v>
      </c>
    </row>
    <row r="313" spans="1:11" x14ac:dyDescent="0.3">
      <c r="A313" s="1" t="s">
        <v>1165</v>
      </c>
      <c r="B313" s="1" t="s">
        <v>1166</v>
      </c>
      <c r="C313" s="1" t="s">
        <v>1167</v>
      </c>
      <c r="D313" s="1">
        <v>160113315</v>
      </c>
      <c r="E313" s="1">
        <v>1100000</v>
      </c>
      <c r="F313" s="1">
        <v>741</v>
      </c>
      <c r="G313" s="1">
        <v>214</v>
      </c>
      <c r="H313" s="1">
        <v>0.6875</v>
      </c>
      <c r="I313" s="1">
        <v>748193.06</v>
      </c>
      <c r="J313" s="1" t="s">
        <v>1168</v>
      </c>
      <c r="K313" s="1">
        <v>0</v>
      </c>
    </row>
    <row r="314" spans="1:11" x14ac:dyDescent="0.3">
      <c r="A314" s="1" t="s">
        <v>1169</v>
      </c>
      <c r="B314" s="1" t="s">
        <v>1170</v>
      </c>
      <c r="C314" s="1" t="s">
        <v>1171</v>
      </c>
      <c r="D314" s="1">
        <v>56699064</v>
      </c>
      <c r="E314" s="1">
        <v>612000</v>
      </c>
      <c r="F314" s="1">
        <v>2484</v>
      </c>
      <c r="G314" s="1">
        <v>302</v>
      </c>
      <c r="H314" s="1">
        <v>1.0838000000000001</v>
      </c>
      <c r="I314" s="1">
        <v>187745.25</v>
      </c>
      <c r="J314" s="1" t="s">
        <v>1172</v>
      </c>
      <c r="K314" s="1">
        <v>0</v>
      </c>
    </row>
    <row r="315" spans="1:11" x14ac:dyDescent="0.3">
      <c r="A315" s="1" t="s">
        <v>1173</v>
      </c>
      <c r="B315" s="1" t="s">
        <v>1174</v>
      </c>
      <c r="C315" s="1" t="s">
        <v>1175</v>
      </c>
      <c r="D315" s="1">
        <v>20326</v>
      </c>
      <c r="E315" s="1">
        <v>26</v>
      </c>
      <c r="F315" s="1">
        <v>6</v>
      </c>
      <c r="G315" s="1">
        <v>4229</v>
      </c>
      <c r="H315" s="1">
        <v>0.15740000000000001</v>
      </c>
      <c r="I315" s="1">
        <v>4.8099999999999996</v>
      </c>
      <c r="J315" s="1" t="s">
        <v>1176</v>
      </c>
      <c r="K315" s="1">
        <v>639</v>
      </c>
    </row>
    <row r="316" spans="1:11" x14ac:dyDescent="0.3">
      <c r="A316" s="1" t="s">
        <v>1177</v>
      </c>
      <c r="B316" s="1" t="s">
        <v>1178</v>
      </c>
      <c r="C316" s="1" t="s">
        <v>1179</v>
      </c>
      <c r="D316" s="1">
        <v>28048</v>
      </c>
      <c r="E316" s="1">
        <v>150</v>
      </c>
      <c r="F316" s="1">
        <v>0</v>
      </c>
      <c r="G316" s="1">
        <v>5751</v>
      </c>
      <c r="H316" s="1">
        <v>0.53480000000000005</v>
      </c>
      <c r="I316" s="1">
        <v>4.88</v>
      </c>
      <c r="J316" s="1" t="s">
        <v>1180</v>
      </c>
      <c r="K316" s="1">
        <v>1524</v>
      </c>
    </row>
    <row r="317" spans="1:11" x14ac:dyDescent="0.3">
      <c r="A317" s="1" t="s">
        <v>1181</v>
      </c>
      <c r="B317" s="1" t="s">
        <v>1182</v>
      </c>
      <c r="C317" s="1" t="s">
        <v>1163</v>
      </c>
      <c r="D317" s="1">
        <v>51825</v>
      </c>
      <c r="E317" s="1">
        <v>278</v>
      </c>
      <c r="F317" s="1">
        <v>0</v>
      </c>
      <c r="G317" s="1">
        <v>880</v>
      </c>
      <c r="H317" s="1">
        <v>0.53639999999999999</v>
      </c>
      <c r="I317" s="1">
        <v>58.89</v>
      </c>
      <c r="J317" s="1" t="s">
        <v>1183</v>
      </c>
      <c r="K317" s="1">
        <v>903</v>
      </c>
    </row>
    <row r="318" spans="1:11" x14ac:dyDescent="0.3">
      <c r="A318" s="1" t="s">
        <v>1184</v>
      </c>
      <c r="B318" s="1" t="s">
        <v>1185</v>
      </c>
      <c r="C318" s="1" t="s">
        <v>412</v>
      </c>
      <c r="D318" s="1">
        <v>22129</v>
      </c>
      <c r="E318" s="1">
        <v>372</v>
      </c>
      <c r="F318" s="1">
        <v>0</v>
      </c>
      <c r="G318" s="1">
        <v>3984</v>
      </c>
      <c r="H318" s="1">
        <v>1.6811</v>
      </c>
      <c r="I318" s="1">
        <v>5.55</v>
      </c>
      <c r="J318" s="1" t="s">
        <v>1186</v>
      </c>
      <c r="K318" s="1">
        <v>2585</v>
      </c>
    </row>
    <row r="319" spans="1:11" x14ac:dyDescent="0.3">
      <c r="A319" s="1" t="s">
        <v>1187</v>
      </c>
      <c r="B319" s="1" t="s">
        <v>1188</v>
      </c>
      <c r="C319" s="1" t="s">
        <v>412</v>
      </c>
      <c r="D319" s="1">
        <v>376383</v>
      </c>
      <c r="E319" s="1">
        <v>2200</v>
      </c>
      <c r="F319" s="1">
        <v>0</v>
      </c>
      <c r="G319" s="1">
        <v>2907</v>
      </c>
      <c r="H319" s="1">
        <v>0.58450000000000002</v>
      </c>
      <c r="I319" s="1">
        <v>129.47</v>
      </c>
      <c r="J319" s="1" t="s">
        <v>1189</v>
      </c>
      <c r="K319" s="1">
        <v>1212</v>
      </c>
    </row>
    <row r="320" spans="1:11" x14ac:dyDescent="0.3">
      <c r="A320" s="1" t="s">
        <v>1190</v>
      </c>
      <c r="B320" s="1" t="s">
        <v>1191</v>
      </c>
      <c r="C320" s="1" t="s">
        <v>1175</v>
      </c>
      <c r="D320" s="1">
        <v>1373</v>
      </c>
      <c r="E320" s="1">
        <v>8</v>
      </c>
      <c r="F320" s="1">
        <v>12</v>
      </c>
      <c r="G320" s="1">
        <v>4241</v>
      </c>
      <c r="H320" s="1">
        <v>1.4567000000000001</v>
      </c>
      <c r="I320" s="1">
        <v>0.32</v>
      </c>
      <c r="J320" s="1" t="s">
        <v>1192</v>
      </c>
      <c r="K320" s="1">
        <v>636</v>
      </c>
    </row>
    <row r="321" spans="1:11" x14ac:dyDescent="0.3">
      <c r="A321" s="1" t="s">
        <v>1193</v>
      </c>
      <c r="B321" s="1" t="s">
        <v>1194</v>
      </c>
      <c r="C321" s="1" t="s">
        <v>1195</v>
      </c>
      <c r="D321" s="1">
        <v>28820849</v>
      </c>
      <c r="E321" s="1">
        <v>652000</v>
      </c>
      <c r="F321" s="1">
        <v>928</v>
      </c>
      <c r="G321" s="1">
        <v>568</v>
      </c>
      <c r="H321" s="1">
        <v>2.2654999999999998</v>
      </c>
      <c r="I321" s="1">
        <v>50740.93</v>
      </c>
      <c r="J321" s="1" t="s">
        <v>1196</v>
      </c>
      <c r="K321" s="1">
        <v>254</v>
      </c>
    </row>
    <row r="322" spans="1:11" x14ac:dyDescent="0.3">
      <c r="A322" s="1" t="s">
        <v>1197</v>
      </c>
      <c r="B322" s="1" t="s">
        <v>1198</v>
      </c>
      <c r="C322" s="1" t="s">
        <v>1199</v>
      </c>
      <c r="D322" s="1">
        <v>1132</v>
      </c>
      <c r="E322" s="1">
        <v>38</v>
      </c>
      <c r="F322" s="1">
        <v>0</v>
      </c>
      <c r="G322" s="1">
        <v>1</v>
      </c>
      <c r="H322" s="1">
        <v>3.3569</v>
      </c>
      <c r="I322" s="1">
        <v>1132</v>
      </c>
      <c r="J322" s="1" t="s">
        <v>1200</v>
      </c>
      <c r="K322" s="1">
        <v>304</v>
      </c>
    </row>
    <row r="323" spans="1:11" x14ac:dyDescent="0.3">
      <c r="A323" s="1" t="s">
        <v>1201</v>
      </c>
      <c r="B323" s="1" t="s">
        <v>1202</v>
      </c>
      <c r="C323" s="1" t="s">
        <v>412</v>
      </c>
      <c r="D323" s="1">
        <v>3254</v>
      </c>
      <c r="E323" s="1">
        <v>35</v>
      </c>
      <c r="F323" s="1">
        <v>0</v>
      </c>
      <c r="G323" s="1">
        <v>3939</v>
      </c>
      <c r="H323" s="1">
        <v>1.0755999999999999</v>
      </c>
      <c r="I323" s="1">
        <v>0.83</v>
      </c>
      <c r="J323" s="1" t="s">
        <v>1203</v>
      </c>
      <c r="K323" s="1">
        <v>432</v>
      </c>
    </row>
    <row r="324" spans="1:11" x14ac:dyDescent="0.3">
      <c r="A324" s="1" t="s">
        <v>1204</v>
      </c>
      <c r="B324" s="1" t="s">
        <v>1205</v>
      </c>
      <c r="C324" s="1" t="s">
        <v>1206</v>
      </c>
      <c r="D324" s="1">
        <v>642267</v>
      </c>
      <c r="E324" s="1">
        <v>1600</v>
      </c>
      <c r="F324" s="1">
        <v>0</v>
      </c>
      <c r="G324" s="1">
        <v>2986</v>
      </c>
      <c r="H324" s="1">
        <v>0.24909999999999999</v>
      </c>
      <c r="I324" s="1">
        <v>215.09</v>
      </c>
      <c r="J324" s="1" t="s">
        <v>1207</v>
      </c>
      <c r="K324" s="1">
        <v>3681</v>
      </c>
    </row>
    <row r="325" spans="1:11" x14ac:dyDescent="0.3">
      <c r="A325" s="1" t="s">
        <v>1208</v>
      </c>
      <c r="B325" s="1" t="s">
        <v>1209</v>
      </c>
      <c r="C325" s="1" t="s">
        <v>383</v>
      </c>
      <c r="D325" s="1">
        <v>286881</v>
      </c>
      <c r="E325" s="1">
        <v>5600</v>
      </c>
      <c r="F325" s="1">
        <v>198</v>
      </c>
      <c r="G325" s="1">
        <v>219</v>
      </c>
      <c r="H325" s="1">
        <v>2.0209999999999999</v>
      </c>
      <c r="I325" s="1">
        <v>1309.96</v>
      </c>
      <c r="J325" s="1" t="s">
        <v>1210</v>
      </c>
      <c r="K325" s="1">
        <v>0</v>
      </c>
    </row>
    <row r="326" spans="1:11" x14ac:dyDescent="0.3">
      <c r="A326" s="1" t="s">
        <v>1211</v>
      </c>
      <c r="B326" s="1" t="s">
        <v>1212</v>
      </c>
      <c r="C326" s="1" t="s">
        <v>1213</v>
      </c>
      <c r="D326" s="1">
        <v>109863598</v>
      </c>
      <c r="E326" s="1">
        <v>0</v>
      </c>
      <c r="F326" s="1">
        <v>1734</v>
      </c>
      <c r="G326" s="1">
        <v>177</v>
      </c>
      <c r="H326" s="1">
        <v>1.6000000000000001E-3</v>
      </c>
      <c r="I326" s="1">
        <v>620698.29</v>
      </c>
      <c r="J326" s="1" t="s">
        <v>1214</v>
      </c>
      <c r="K326" s="1">
        <v>3864</v>
      </c>
    </row>
    <row r="327" spans="1:11" x14ac:dyDescent="0.3">
      <c r="A327" s="1" t="s">
        <v>1215</v>
      </c>
      <c r="B327" s="1" t="s">
        <v>1216</v>
      </c>
      <c r="C327" s="1" t="s">
        <v>1217</v>
      </c>
      <c r="D327" s="1">
        <v>12195011</v>
      </c>
      <c r="E327" s="1">
        <v>135000</v>
      </c>
      <c r="F327" s="1">
        <v>4950</v>
      </c>
      <c r="G327" s="1">
        <v>4682</v>
      </c>
      <c r="H327" s="1">
        <v>1.1476</v>
      </c>
      <c r="I327" s="1">
        <v>2604.66</v>
      </c>
      <c r="J327" s="1" t="s">
        <v>1218</v>
      </c>
      <c r="K327" s="1">
        <v>351</v>
      </c>
    </row>
    <row r="328" spans="1:11" x14ac:dyDescent="0.3">
      <c r="A328" s="1" t="s">
        <v>1219</v>
      </c>
      <c r="B328" s="1" t="s">
        <v>1220</v>
      </c>
      <c r="C328" s="1" t="s">
        <v>1221</v>
      </c>
      <c r="D328" s="1">
        <v>19381144</v>
      </c>
      <c r="E328" s="1">
        <v>14000</v>
      </c>
      <c r="F328" s="1">
        <v>213</v>
      </c>
      <c r="G328" s="1">
        <v>2702</v>
      </c>
      <c r="H328" s="1">
        <v>7.3300000000000004E-2</v>
      </c>
      <c r="I328" s="1">
        <v>7172.89</v>
      </c>
      <c r="J328" s="1" t="s">
        <v>1222</v>
      </c>
      <c r="K328" s="1">
        <v>429</v>
      </c>
    </row>
    <row r="329" spans="1:11" x14ac:dyDescent="0.3">
      <c r="A329" s="1" t="s">
        <v>1223</v>
      </c>
      <c r="B329" s="1" t="s">
        <v>1224</v>
      </c>
      <c r="C329" s="1" t="s">
        <v>1225</v>
      </c>
      <c r="D329" s="1">
        <v>531505</v>
      </c>
      <c r="E329" s="1">
        <v>2500</v>
      </c>
      <c r="F329" s="1">
        <v>58</v>
      </c>
      <c r="G329" s="1">
        <v>2865</v>
      </c>
      <c r="H329" s="1">
        <v>0.48130000000000001</v>
      </c>
      <c r="I329" s="1">
        <v>185.52</v>
      </c>
      <c r="J329" s="1" t="s">
        <v>1226</v>
      </c>
      <c r="K329" s="1">
        <v>187</v>
      </c>
    </row>
    <row r="330" spans="1:11" x14ac:dyDescent="0.3">
      <c r="A330" s="1" t="s">
        <v>1227</v>
      </c>
      <c r="B330" s="1" t="s">
        <v>1228</v>
      </c>
      <c r="C330" s="1" t="s">
        <v>1229</v>
      </c>
      <c r="D330" s="1">
        <v>2740834</v>
      </c>
      <c r="E330" s="1">
        <v>14000</v>
      </c>
      <c r="F330" s="1">
        <v>629</v>
      </c>
      <c r="G330" s="1">
        <v>4066</v>
      </c>
      <c r="H330" s="1">
        <v>0.53369999999999995</v>
      </c>
      <c r="I330" s="1">
        <v>674.09</v>
      </c>
      <c r="J330" s="1" t="s">
        <v>1230</v>
      </c>
      <c r="K330" s="1">
        <v>1475</v>
      </c>
    </row>
    <row r="331" spans="1:11" x14ac:dyDescent="0.3">
      <c r="A331" s="1" t="s">
        <v>1231</v>
      </c>
      <c r="B331" s="1" t="s">
        <v>1232</v>
      </c>
      <c r="C331" s="1" t="s">
        <v>1233</v>
      </c>
      <c r="D331" s="1">
        <v>5951202</v>
      </c>
      <c r="E331" s="1">
        <v>39000</v>
      </c>
      <c r="F331" s="1">
        <v>1524</v>
      </c>
      <c r="G331" s="1">
        <v>4373</v>
      </c>
      <c r="H331" s="1">
        <v>0.68089999999999995</v>
      </c>
      <c r="I331" s="1">
        <v>1360.9</v>
      </c>
      <c r="J331" s="1" t="s">
        <v>1234</v>
      </c>
      <c r="K331" s="1">
        <v>1215</v>
      </c>
    </row>
    <row r="332" spans="1:11" x14ac:dyDescent="0.3">
      <c r="A332" s="1" t="s">
        <v>1235</v>
      </c>
      <c r="B332" s="1" t="s">
        <v>1236</v>
      </c>
      <c r="C332" s="1" t="s">
        <v>1237</v>
      </c>
      <c r="D332" s="1">
        <v>2337</v>
      </c>
      <c r="E332" s="1">
        <v>18</v>
      </c>
      <c r="F332" s="1">
        <v>0</v>
      </c>
      <c r="G332" s="1">
        <v>3725</v>
      </c>
      <c r="H332" s="1">
        <v>0.7702</v>
      </c>
      <c r="I332" s="1">
        <v>0.63</v>
      </c>
      <c r="J332" s="1" t="s">
        <v>1238</v>
      </c>
      <c r="K332" s="1">
        <v>112</v>
      </c>
    </row>
    <row r="333" spans="1:11" x14ac:dyDescent="0.3">
      <c r="A333" s="1" t="s">
        <v>1239</v>
      </c>
      <c r="B333" s="1" t="s">
        <v>1240</v>
      </c>
      <c r="C333" s="1" t="s">
        <v>1241</v>
      </c>
      <c r="D333" s="1">
        <v>98997</v>
      </c>
      <c r="E333" s="1">
        <v>106</v>
      </c>
      <c r="F333" s="1">
        <v>15</v>
      </c>
      <c r="G333" s="1">
        <v>3725</v>
      </c>
      <c r="H333" s="1">
        <v>0.1222</v>
      </c>
      <c r="I333" s="1">
        <v>26.58</v>
      </c>
      <c r="J333" s="1" t="s">
        <v>1242</v>
      </c>
      <c r="K333" s="1">
        <v>1062</v>
      </c>
    </row>
    <row r="334" spans="1:11" x14ac:dyDescent="0.3">
      <c r="A334" s="1" t="s">
        <v>1243</v>
      </c>
      <c r="B334" s="1" t="s">
        <v>1244</v>
      </c>
      <c r="C334" s="1" t="s">
        <v>1245</v>
      </c>
      <c r="D334" s="1">
        <v>56718585</v>
      </c>
      <c r="E334" s="1">
        <v>909000</v>
      </c>
      <c r="F334" s="1">
        <v>2310</v>
      </c>
      <c r="G334" s="1">
        <v>219</v>
      </c>
      <c r="H334" s="1">
        <v>1.6067</v>
      </c>
      <c r="I334" s="1">
        <v>258988.97</v>
      </c>
      <c r="J334" s="1" t="s">
        <v>1246</v>
      </c>
      <c r="K334" s="1">
        <v>0</v>
      </c>
    </row>
    <row r="335" spans="1:11" x14ac:dyDescent="0.3">
      <c r="A335" s="1" t="s">
        <v>1247</v>
      </c>
      <c r="B335" s="1" t="s">
        <v>1248</v>
      </c>
      <c r="C335" s="1" t="s">
        <v>1249</v>
      </c>
      <c r="D335" s="1">
        <v>61510379</v>
      </c>
      <c r="E335" s="1">
        <v>243000</v>
      </c>
      <c r="F335" s="1">
        <v>12682</v>
      </c>
      <c r="G335" s="1">
        <v>4073</v>
      </c>
      <c r="H335" s="1">
        <v>0.41570000000000001</v>
      </c>
      <c r="I335" s="1">
        <v>15101.98</v>
      </c>
      <c r="J335" s="1" t="s">
        <v>1250</v>
      </c>
      <c r="K335" s="1">
        <v>1447</v>
      </c>
    </row>
    <row r="336" spans="1:11" x14ac:dyDescent="0.3">
      <c r="A336" s="1" t="s">
        <v>1251</v>
      </c>
      <c r="B336" s="1" t="s">
        <v>1252</v>
      </c>
      <c r="C336" s="1" t="s">
        <v>1253</v>
      </c>
      <c r="D336" s="1">
        <v>33454493</v>
      </c>
      <c r="E336" s="1">
        <v>258000</v>
      </c>
      <c r="F336" s="1">
        <v>11490</v>
      </c>
      <c r="G336" s="1">
        <v>2636</v>
      </c>
      <c r="H336" s="1">
        <v>0.80549999999999999</v>
      </c>
      <c r="I336" s="1">
        <v>12691.39</v>
      </c>
      <c r="J336" s="1" t="s">
        <v>1254</v>
      </c>
      <c r="K336" s="1">
        <v>1593</v>
      </c>
    </row>
    <row r="337" spans="1:11" x14ac:dyDescent="0.3">
      <c r="A337" s="1" t="s">
        <v>1255</v>
      </c>
      <c r="B337" s="1" t="s">
        <v>1256</v>
      </c>
      <c r="C337" s="1" t="s">
        <v>1249</v>
      </c>
      <c r="D337" s="1">
        <v>275456252</v>
      </c>
      <c r="E337" s="1">
        <v>1800000</v>
      </c>
      <c r="F337" s="1">
        <v>43721</v>
      </c>
      <c r="G337" s="1">
        <v>4192</v>
      </c>
      <c r="H337" s="1">
        <v>0.66930000000000001</v>
      </c>
      <c r="I337" s="1">
        <v>65709.98</v>
      </c>
      <c r="J337" s="1" t="s">
        <v>1257</v>
      </c>
      <c r="K337" s="1">
        <v>1665</v>
      </c>
    </row>
    <row r="338" spans="1:11" x14ac:dyDescent="0.3">
      <c r="A338" s="1" t="s">
        <v>1258</v>
      </c>
      <c r="B338" s="1" t="s">
        <v>1259</v>
      </c>
      <c r="C338" s="1" t="s">
        <v>1260</v>
      </c>
      <c r="D338" s="1">
        <v>53038527</v>
      </c>
      <c r="E338" s="1">
        <v>35000</v>
      </c>
      <c r="F338" s="1">
        <v>1918</v>
      </c>
      <c r="G338" s="1">
        <v>2855</v>
      </c>
      <c r="H338" s="1">
        <v>6.9599999999999995E-2</v>
      </c>
      <c r="I338" s="1">
        <v>18577.419999999998</v>
      </c>
      <c r="J338" s="1" t="s">
        <v>1261</v>
      </c>
      <c r="K338" s="1">
        <v>329</v>
      </c>
    </row>
    <row r="339" spans="1:11" x14ac:dyDescent="0.3">
      <c r="A339" s="1" t="s">
        <v>1262</v>
      </c>
      <c r="B339" s="1" t="s">
        <v>1263</v>
      </c>
      <c r="C339" s="1" t="s">
        <v>1264</v>
      </c>
      <c r="D339" s="1">
        <v>12224509</v>
      </c>
      <c r="E339" s="1">
        <v>34000</v>
      </c>
      <c r="F339" s="1">
        <v>0</v>
      </c>
      <c r="G339" s="1">
        <v>1206</v>
      </c>
      <c r="H339" s="1">
        <v>0.27810000000000001</v>
      </c>
      <c r="I339" s="1">
        <v>10136.41</v>
      </c>
      <c r="J339" s="1" t="s">
        <v>1265</v>
      </c>
      <c r="K339" s="1">
        <v>0</v>
      </c>
    </row>
    <row r="340" spans="1:11" x14ac:dyDescent="0.3">
      <c r="A340" s="1" t="s">
        <v>1266</v>
      </c>
      <c r="B340" s="1" t="s">
        <v>1267</v>
      </c>
      <c r="C340" s="1" t="s">
        <v>1268</v>
      </c>
      <c r="D340" s="1">
        <v>24855667</v>
      </c>
      <c r="E340" s="1">
        <v>296000</v>
      </c>
      <c r="F340" s="1">
        <v>2379</v>
      </c>
      <c r="G340" s="1">
        <v>238</v>
      </c>
      <c r="H340" s="1">
        <v>1.2003999999999999</v>
      </c>
      <c r="I340" s="1">
        <v>104435.58</v>
      </c>
      <c r="J340" s="1" t="s">
        <v>1269</v>
      </c>
      <c r="K340" s="1">
        <v>0</v>
      </c>
    </row>
    <row r="341" spans="1:11" x14ac:dyDescent="0.3">
      <c r="A341" s="1" t="s">
        <v>1270</v>
      </c>
      <c r="B341" s="1" t="s">
        <v>1271</v>
      </c>
      <c r="C341" s="1" t="s">
        <v>208</v>
      </c>
      <c r="D341" s="1">
        <v>7175268</v>
      </c>
      <c r="E341" s="1">
        <v>25000</v>
      </c>
      <c r="F341" s="1">
        <v>284</v>
      </c>
      <c r="G341" s="1">
        <v>194</v>
      </c>
      <c r="H341" s="1">
        <v>0.35239999999999999</v>
      </c>
      <c r="I341" s="1">
        <v>36985.919999999998</v>
      </c>
      <c r="J341" s="1" t="s">
        <v>1272</v>
      </c>
      <c r="K341" s="1">
        <v>146</v>
      </c>
    </row>
    <row r="342" spans="1:11" x14ac:dyDescent="0.3">
      <c r="A342" s="1" t="s">
        <v>1273</v>
      </c>
      <c r="B342" s="1" t="s">
        <v>1274</v>
      </c>
      <c r="C342" s="1" t="s">
        <v>1275</v>
      </c>
      <c r="D342" s="1">
        <v>3483</v>
      </c>
      <c r="E342" s="1">
        <v>15</v>
      </c>
      <c r="F342" s="1">
        <v>4</v>
      </c>
      <c r="G342" s="1">
        <v>1</v>
      </c>
      <c r="H342" s="1">
        <v>0.54549999999999998</v>
      </c>
      <c r="I342" s="1">
        <v>3483</v>
      </c>
      <c r="J342" s="1" t="s">
        <v>1276</v>
      </c>
      <c r="K342" s="1">
        <v>274</v>
      </c>
    </row>
    <row r="343" spans="1:11" x14ac:dyDescent="0.3">
      <c r="A343" s="1" t="s">
        <v>1277</v>
      </c>
      <c r="B343" s="1" t="s">
        <v>1278</v>
      </c>
      <c r="C343" s="1" t="s">
        <v>1279</v>
      </c>
      <c r="D343" s="1">
        <v>454561</v>
      </c>
      <c r="E343" s="1">
        <v>23000</v>
      </c>
      <c r="F343" s="1">
        <v>3835</v>
      </c>
      <c r="G343" s="1">
        <v>20</v>
      </c>
      <c r="H343" s="1">
        <v>5.9035000000000002</v>
      </c>
      <c r="I343" s="1">
        <v>22728.05</v>
      </c>
      <c r="J343" s="1" t="s">
        <v>1280</v>
      </c>
      <c r="K343" s="1">
        <v>759</v>
      </c>
    </row>
    <row r="344" spans="1:11" x14ac:dyDescent="0.3">
      <c r="A344" s="1" t="s">
        <v>1281</v>
      </c>
      <c r="B344" s="1" t="s">
        <v>1282</v>
      </c>
      <c r="C344" s="1" t="s">
        <v>1283</v>
      </c>
      <c r="D344" s="1">
        <v>2285177</v>
      </c>
      <c r="E344" s="1">
        <v>82000</v>
      </c>
      <c r="F344" s="1">
        <v>723</v>
      </c>
      <c r="G344" s="1">
        <v>4</v>
      </c>
      <c r="H344" s="1">
        <v>3.62</v>
      </c>
      <c r="I344" s="1">
        <v>571294.25</v>
      </c>
      <c r="J344" s="1" t="s">
        <v>1284</v>
      </c>
      <c r="K344" s="1">
        <v>278</v>
      </c>
    </row>
    <row r="345" spans="1:11" x14ac:dyDescent="0.3">
      <c r="A345" s="1" t="s">
        <v>1285</v>
      </c>
      <c r="B345" s="1" t="s">
        <v>1286</v>
      </c>
      <c r="C345" s="1" t="s">
        <v>1287</v>
      </c>
      <c r="D345" s="1">
        <v>3696170</v>
      </c>
      <c r="E345" s="1">
        <v>74000</v>
      </c>
      <c r="F345" s="1">
        <v>592</v>
      </c>
      <c r="G345" s="1">
        <v>4</v>
      </c>
      <c r="H345" s="1">
        <v>2.0181</v>
      </c>
      <c r="I345" s="1">
        <v>924042.5</v>
      </c>
      <c r="J345" s="1" t="s">
        <v>1288</v>
      </c>
      <c r="K345" s="1">
        <v>0</v>
      </c>
    </row>
    <row r="346" spans="1:11" x14ac:dyDescent="0.3">
      <c r="A346" s="1" t="s">
        <v>1289</v>
      </c>
      <c r="B346" s="1" t="s">
        <v>1290</v>
      </c>
      <c r="C346" s="1" t="s">
        <v>1291</v>
      </c>
      <c r="D346" s="1">
        <v>20597625</v>
      </c>
      <c r="E346" s="1">
        <v>483000</v>
      </c>
      <c r="F346" s="1">
        <v>906</v>
      </c>
      <c r="G346" s="1">
        <v>16</v>
      </c>
      <c r="H346" s="1">
        <v>2.3492999999999999</v>
      </c>
      <c r="I346" s="1">
        <v>1287351.56</v>
      </c>
      <c r="J346" s="1" t="s">
        <v>1292</v>
      </c>
      <c r="K346" s="1">
        <v>0</v>
      </c>
    </row>
    <row r="347" spans="1:11" x14ac:dyDescent="0.3">
      <c r="A347" s="1" t="s">
        <v>1293</v>
      </c>
      <c r="B347" s="1" t="s">
        <v>1129</v>
      </c>
      <c r="C347" s="1" t="s">
        <v>1130</v>
      </c>
      <c r="D347" s="1">
        <v>324573990</v>
      </c>
      <c r="E347" s="1">
        <v>2800000</v>
      </c>
      <c r="F347" s="1">
        <v>1007</v>
      </c>
      <c r="G347" s="1">
        <v>394</v>
      </c>
      <c r="H347" s="1">
        <v>0.86299999999999999</v>
      </c>
      <c r="I347" s="1">
        <v>823791.85</v>
      </c>
      <c r="J347" s="1" t="s">
        <v>1294</v>
      </c>
      <c r="K347" s="1">
        <v>60</v>
      </c>
    </row>
    <row r="348" spans="1:11" x14ac:dyDescent="0.3">
      <c r="A348" s="1" t="s">
        <v>1295</v>
      </c>
      <c r="B348" s="1" t="s">
        <v>1296</v>
      </c>
      <c r="C348" s="1" t="s">
        <v>1283</v>
      </c>
      <c r="D348" s="1">
        <v>226836</v>
      </c>
      <c r="E348" s="1">
        <v>13000</v>
      </c>
      <c r="F348" s="1">
        <v>133</v>
      </c>
      <c r="G348" s="1">
        <v>1</v>
      </c>
      <c r="H348" s="1">
        <v>5.7896000000000001</v>
      </c>
      <c r="I348" s="1">
        <v>226836</v>
      </c>
      <c r="J348" s="1" t="s">
        <v>1297</v>
      </c>
      <c r="K348" s="1">
        <v>291</v>
      </c>
    </row>
    <row r="349" spans="1:11" x14ac:dyDescent="0.3">
      <c r="A349" s="1" t="s">
        <v>1298</v>
      </c>
      <c r="B349" s="1" t="s">
        <v>1299</v>
      </c>
      <c r="C349" s="1" t="s">
        <v>1300</v>
      </c>
      <c r="D349" s="1">
        <v>111816418</v>
      </c>
      <c r="E349" s="1">
        <v>1300000</v>
      </c>
      <c r="F349" s="1">
        <v>17103</v>
      </c>
      <c r="G349" s="1">
        <v>912</v>
      </c>
      <c r="H349" s="1">
        <v>1.1778999999999999</v>
      </c>
      <c r="I349" s="1">
        <v>122605.72</v>
      </c>
      <c r="J349" s="1" t="s">
        <v>1301</v>
      </c>
      <c r="K349" s="1">
        <v>175</v>
      </c>
    </row>
    <row r="350" spans="1:11" x14ac:dyDescent="0.3">
      <c r="A350" s="1" t="s">
        <v>1302</v>
      </c>
      <c r="B350" s="1" t="s">
        <v>1303</v>
      </c>
      <c r="C350" s="1" t="s">
        <v>1195</v>
      </c>
      <c r="D350" s="1">
        <v>108898604</v>
      </c>
      <c r="E350" s="1">
        <v>618000</v>
      </c>
      <c r="F350" s="1">
        <v>894</v>
      </c>
      <c r="G350" s="1">
        <v>385</v>
      </c>
      <c r="H350" s="1">
        <v>0.56830000000000003</v>
      </c>
      <c r="I350" s="1">
        <v>282853.52</v>
      </c>
      <c r="J350" s="1" t="s">
        <v>1304</v>
      </c>
      <c r="K350" s="1">
        <v>362</v>
      </c>
    </row>
    <row r="351" spans="1:11" x14ac:dyDescent="0.3">
      <c r="A351" s="1" t="s">
        <v>1305</v>
      </c>
      <c r="B351" s="1" t="s">
        <v>1306</v>
      </c>
      <c r="C351" s="1" t="s">
        <v>1307</v>
      </c>
      <c r="D351" s="1">
        <v>191412876</v>
      </c>
      <c r="E351" s="1">
        <v>2000000</v>
      </c>
      <c r="F351" s="1">
        <v>1829</v>
      </c>
      <c r="G351" s="1">
        <v>407</v>
      </c>
      <c r="H351" s="1">
        <v>1.0458000000000001</v>
      </c>
      <c r="I351" s="1">
        <v>470301.91</v>
      </c>
      <c r="J351" s="1" t="s">
        <v>1308</v>
      </c>
      <c r="K351" s="1">
        <v>0</v>
      </c>
    </row>
    <row r="352" spans="1:11" x14ac:dyDescent="0.3">
      <c r="A352" s="1" t="s">
        <v>1309</v>
      </c>
      <c r="B352" s="1" t="s">
        <v>1310</v>
      </c>
      <c r="C352" s="1" t="s">
        <v>1311</v>
      </c>
      <c r="D352" s="1">
        <v>1281365</v>
      </c>
      <c r="E352" s="1">
        <v>81000</v>
      </c>
      <c r="F352" s="1">
        <v>572</v>
      </c>
      <c r="G352" s="1">
        <v>25</v>
      </c>
      <c r="H352" s="1">
        <v>6.3659999999999997</v>
      </c>
      <c r="I352" s="1">
        <v>51254.6</v>
      </c>
      <c r="J352" s="1" t="s">
        <v>1312</v>
      </c>
      <c r="K352" s="1">
        <v>0</v>
      </c>
    </row>
    <row r="353" spans="1:11" x14ac:dyDescent="0.3">
      <c r="A353" s="1" t="s">
        <v>1313</v>
      </c>
      <c r="B353" s="1" t="s">
        <v>1314</v>
      </c>
      <c r="C353" s="1" t="s">
        <v>1315</v>
      </c>
      <c r="D353" s="1">
        <v>23753080</v>
      </c>
      <c r="E353" s="1">
        <v>114000</v>
      </c>
      <c r="F353" s="1">
        <v>155</v>
      </c>
      <c r="G353" s="1">
        <v>158</v>
      </c>
      <c r="H353" s="1">
        <v>0.48060000000000003</v>
      </c>
      <c r="I353" s="1">
        <v>150335.95000000001</v>
      </c>
      <c r="J353" s="1" t="s">
        <v>1316</v>
      </c>
      <c r="K353" s="1">
        <v>0</v>
      </c>
    </row>
    <row r="354" spans="1:11" x14ac:dyDescent="0.3">
      <c r="A354" s="1" t="s">
        <v>1317</v>
      </c>
      <c r="B354" s="1" t="s">
        <v>1318</v>
      </c>
      <c r="C354" s="1" t="s">
        <v>309</v>
      </c>
      <c r="D354" s="1">
        <v>3223209</v>
      </c>
      <c r="E354" s="1">
        <v>105000</v>
      </c>
      <c r="F354" s="1">
        <v>1552</v>
      </c>
      <c r="G354" s="1">
        <v>21</v>
      </c>
      <c r="H354" s="1">
        <v>3.3058000000000001</v>
      </c>
      <c r="I354" s="1">
        <v>153486.14000000001</v>
      </c>
      <c r="J354" s="1" t="s">
        <v>1319</v>
      </c>
      <c r="K354" s="1">
        <v>0</v>
      </c>
    </row>
    <row r="355" spans="1:11" x14ac:dyDescent="0.3">
      <c r="A355" s="1" t="s">
        <v>1320</v>
      </c>
      <c r="B355" s="1" t="s">
        <v>1321</v>
      </c>
      <c r="C355" s="1" t="s">
        <v>1322</v>
      </c>
      <c r="D355" s="1">
        <v>1493994</v>
      </c>
      <c r="E355" s="1">
        <v>62000</v>
      </c>
      <c r="F355" s="1">
        <v>1479</v>
      </c>
      <c r="G355" s="1">
        <v>16</v>
      </c>
      <c r="H355" s="1">
        <v>4.2488999999999999</v>
      </c>
      <c r="I355" s="1">
        <v>93374.62</v>
      </c>
      <c r="J355" s="1" t="s">
        <v>1323</v>
      </c>
      <c r="K355" s="1">
        <v>0</v>
      </c>
    </row>
    <row r="356" spans="1:11" x14ac:dyDescent="0.3">
      <c r="A356" s="1" t="s">
        <v>1324</v>
      </c>
      <c r="B356" s="1" t="s">
        <v>1325</v>
      </c>
      <c r="C356" s="1" t="s">
        <v>1326</v>
      </c>
      <c r="D356" s="1">
        <v>51579601</v>
      </c>
      <c r="E356" s="1">
        <v>212000</v>
      </c>
      <c r="F356" s="1">
        <v>0</v>
      </c>
      <c r="G356" s="1">
        <v>1987</v>
      </c>
      <c r="H356" s="1">
        <v>0.41099999999999998</v>
      </c>
      <c r="I356" s="1">
        <v>25958.53</v>
      </c>
      <c r="J356" s="1" t="s">
        <v>1327</v>
      </c>
      <c r="K356" s="1">
        <v>1114</v>
      </c>
    </row>
    <row r="357" spans="1:11" x14ac:dyDescent="0.3">
      <c r="A357" s="1" t="s">
        <v>1328</v>
      </c>
      <c r="B357" s="1" t="s">
        <v>1329</v>
      </c>
      <c r="C357" s="1" t="s">
        <v>1330</v>
      </c>
      <c r="D357" s="1">
        <v>43368360</v>
      </c>
      <c r="E357" s="1">
        <v>181000</v>
      </c>
      <c r="F357" s="1">
        <v>0</v>
      </c>
      <c r="G357" s="1">
        <v>447</v>
      </c>
      <c r="H357" s="1">
        <v>0.41739999999999999</v>
      </c>
      <c r="I357" s="1">
        <v>97020.94</v>
      </c>
      <c r="J357" s="1" t="s">
        <v>1331</v>
      </c>
      <c r="K357" s="1">
        <v>35</v>
      </c>
    </row>
    <row r="358" spans="1:11" x14ac:dyDescent="0.3">
      <c r="A358" s="1" t="s">
        <v>1332</v>
      </c>
      <c r="B358" s="1" t="s">
        <v>1333</v>
      </c>
      <c r="C358" s="1" t="s">
        <v>1334</v>
      </c>
      <c r="D358" s="1">
        <v>3714088</v>
      </c>
      <c r="E358" s="1">
        <v>85000</v>
      </c>
      <c r="F358" s="1">
        <v>214</v>
      </c>
      <c r="G358" s="1">
        <v>4</v>
      </c>
      <c r="H358" s="1">
        <v>2.2942999999999998</v>
      </c>
      <c r="I358" s="1">
        <v>928522</v>
      </c>
      <c r="J358" s="1" t="s">
        <v>1335</v>
      </c>
      <c r="K358" s="1">
        <v>0</v>
      </c>
    </row>
    <row r="359" spans="1:11" x14ac:dyDescent="0.3">
      <c r="A359" s="1" t="s">
        <v>1336</v>
      </c>
      <c r="B359" s="1" t="s">
        <v>1337</v>
      </c>
      <c r="C359" s="1" t="s">
        <v>114</v>
      </c>
      <c r="D359" s="1">
        <v>7910218</v>
      </c>
      <c r="E359" s="1">
        <v>86000</v>
      </c>
      <c r="F359" s="1">
        <v>798</v>
      </c>
      <c r="G359" s="1">
        <v>1309</v>
      </c>
      <c r="H359" s="1">
        <v>1.0972999999999999</v>
      </c>
      <c r="I359" s="1">
        <v>6042.95</v>
      </c>
      <c r="J359" s="1" t="s">
        <v>1338</v>
      </c>
      <c r="K359" s="1">
        <v>113</v>
      </c>
    </row>
    <row r="360" spans="1:11" x14ac:dyDescent="0.3">
      <c r="A360" s="1" t="s">
        <v>1339</v>
      </c>
      <c r="B360" s="1" t="s">
        <v>1340</v>
      </c>
      <c r="C360" s="1" t="s">
        <v>1341</v>
      </c>
      <c r="D360" s="1">
        <v>2829879</v>
      </c>
      <c r="E360" s="1">
        <v>17000</v>
      </c>
      <c r="F360" s="1">
        <v>242</v>
      </c>
      <c r="G360" s="1">
        <v>19</v>
      </c>
      <c r="H360" s="1">
        <v>0.60929999999999995</v>
      </c>
      <c r="I360" s="1">
        <v>148941</v>
      </c>
      <c r="J360" s="1" t="s">
        <v>1342</v>
      </c>
      <c r="K360" s="1">
        <v>173</v>
      </c>
    </row>
    <row r="361" spans="1:11" x14ac:dyDescent="0.3">
      <c r="A361" s="1" t="s">
        <v>1343</v>
      </c>
      <c r="B361" s="1" t="s">
        <v>1344</v>
      </c>
      <c r="C361" s="1" t="s">
        <v>270</v>
      </c>
      <c r="D361" s="1">
        <v>1882106</v>
      </c>
      <c r="E361" s="1">
        <v>31000</v>
      </c>
      <c r="F361" s="1">
        <v>1488</v>
      </c>
      <c r="G361" s="1">
        <v>225</v>
      </c>
      <c r="H361" s="1">
        <v>1.7262</v>
      </c>
      <c r="I361" s="1">
        <v>8364.92</v>
      </c>
      <c r="J361" s="1" t="s">
        <v>1345</v>
      </c>
      <c r="K361" s="1">
        <v>23</v>
      </c>
    </row>
    <row r="362" spans="1:11" x14ac:dyDescent="0.3">
      <c r="A362" s="1" t="s">
        <v>1346</v>
      </c>
      <c r="B362" s="1" t="s">
        <v>1347</v>
      </c>
      <c r="C362" s="1" t="s">
        <v>184</v>
      </c>
      <c r="D362" s="1">
        <v>10579413</v>
      </c>
      <c r="E362" s="1">
        <v>172000</v>
      </c>
      <c r="F362" s="1">
        <v>979</v>
      </c>
      <c r="G362" s="1">
        <v>22</v>
      </c>
      <c r="H362" s="1">
        <v>1.6351</v>
      </c>
      <c r="I362" s="1">
        <v>480882.41</v>
      </c>
      <c r="J362" s="1" t="s">
        <v>1348</v>
      </c>
      <c r="K362" s="1">
        <v>521</v>
      </c>
    </row>
    <row r="363" spans="1:11" x14ac:dyDescent="0.3">
      <c r="A363" s="1" t="s">
        <v>1349</v>
      </c>
      <c r="B363" s="1" t="s">
        <v>1350</v>
      </c>
      <c r="C363" s="1" t="s">
        <v>1351</v>
      </c>
      <c r="D363" s="1">
        <v>40671298</v>
      </c>
      <c r="E363" s="1">
        <v>559000</v>
      </c>
      <c r="F363" s="1">
        <v>790</v>
      </c>
      <c r="G363" s="1">
        <v>885</v>
      </c>
      <c r="H363" s="1">
        <v>1.3764000000000001</v>
      </c>
      <c r="I363" s="1">
        <v>45956.27</v>
      </c>
      <c r="J363" s="1" t="s">
        <v>1352</v>
      </c>
      <c r="K363" s="1">
        <v>0</v>
      </c>
    </row>
    <row r="364" spans="1:11" x14ac:dyDescent="0.3">
      <c r="A364" s="1" t="s">
        <v>1353</v>
      </c>
      <c r="B364" s="1" t="s">
        <v>1354</v>
      </c>
      <c r="C364" s="1" t="s">
        <v>1355</v>
      </c>
      <c r="D364" s="1">
        <v>524610</v>
      </c>
      <c r="E364" s="1">
        <v>0</v>
      </c>
      <c r="F364" s="1">
        <v>2</v>
      </c>
      <c r="G364" s="1">
        <v>1</v>
      </c>
      <c r="H364" s="1">
        <v>4.0000000000000002E-4</v>
      </c>
      <c r="I364" s="1">
        <v>524610</v>
      </c>
      <c r="J364" s="1" t="s">
        <v>1356</v>
      </c>
      <c r="K364" s="1">
        <v>65</v>
      </c>
    </row>
    <row r="365" spans="1:11" x14ac:dyDescent="0.3">
      <c r="A365" s="1" t="s">
        <v>1357</v>
      </c>
      <c r="B365" s="1" t="s">
        <v>1358</v>
      </c>
      <c r="C365" s="1" t="s">
        <v>1359</v>
      </c>
      <c r="D365" s="1">
        <v>143707850</v>
      </c>
      <c r="E365" s="1">
        <v>1200000</v>
      </c>
      <c r="F365" s="1">
        <v>4200</v>
      </c>
      <c r="G365" s="1">
        <v>315</v>
      </c>
      <c r="H365" s="1">
        <v>0.83799999999999997</v>
      </c>
      <c r="I365" s="1">
        <v>456215.4</v>
      </c>
      <c r="J365" s="1" t="s">
        <v>1360</v>
      </c>
      <c r="K365" s="1">
        <v>0</v>
      </c>
    </row>
    <row r="366" spans="1:11" x14ac:dyDescent="0.3">
      <c r="A366" s="1" t="s">
        <v>1361</v>
      </c>
      <c r="B366" s="1" t="s">
        <v>1362</v>
      </c>
      <c r="C366" s="1" t="s">
        <v>1363</v>
      </c>
      <c r="D366" s="1">
        <v>88117307</v>
      </c>
      <c r="E366" s="1">
        <v>623000</v>
      </c>
      <c r="F366" s="1">
        <v>2245</v>
      </c>
      <c r="G366" s="1">
        <v>686</v>
      </c>
      <c r="H366" s="1">
        <v>0.70960000000000001</v>
      </c>
      <c r="I366" s="1">
        <v>128450.88</v>
      </c>
      <c r="J366" s="1" t="s">
        <v>1364</v>
      </c>
      <c r="K366" s="1">
        <v>0</v>
      </c>
    </row>
    <row r="367" spans="1:11" x14ac:dyDescent="0.3">
      <c r="A367" s="1" t="s">
        <v>1365</v>
      </c>
      <c r="B367" s="1" t="s">
        <v>1366</v>
      </c>
      <c r="C367" s="1" t="s">
        <v>1367</v>
      </c>
      <c r="D367" s="1">
        <v>19947063</v>
      </c>
      <c r="E367" s="1">
        <v>0</v>
      </c>
      <c r="F367" s="1">
        <v>0</v>
      </c>
      <c r="G367" s="1">
        <v>345</v>
      </c>
      <c r="H367" s="1">
        <v>0</v>
      </c>
      <c r="I367" s="1">
        <v>57817.57</v>
      </c>
      <c r="J367" s="1" t="s">
        <v>1368</v>
      </c>
      <c r="K367" s="1">
        <v>0</v>
      </c>
    </row>
    <row r="368" spans="1:11" x14ac:dyDescent="0.3">
      <c r="A368" s="1" t="s">
        <v>1369</v>
      </c>
      <c r="B368" s="1" t="s">
        <v>1370</v>
      </c>
      <c r="C368" s="1" t="s">
        <v>1371</v>
      </c>
      <c r="D368" s="1">
        <v>50101158</v>
      </c>
      <c r="E368" s="1">
        <v>233000</v>
      </c>
      <c r="F368" s="1">
        <v>1255</v>
      </c>
      <c r="G368" s="1">
        <v>232</v>
      </c>
      <c r="H368" s="1">
        <v>0.46760000000000002</v>
      </c>
      <c r="I368" s="1">
        <v>215953.27</v>
      </c>
      <c r="J368" s="1" t="s">
        <v>1372</v>
      </c>
      <c r="K368" s="1">
        <v>115</v>
      </c>
    </row>
    <row r="369" spans="1:11" x14ac:dyDescent="0.3">
      <c r="A369" s="1" t="s">
        <v>1373</v>
      </c>
      <c r="B369" s="1" t="s">
        <v>1374</v>
      </c>
      <c r="C369" s="1" t="s">
        <v>1375</v>
      </c>
      <c r="D369" s="1">
        <v>21190203</v>
      </c>
      <c r="E369" s="1">
        <v>104000</v>
      </c>
      <c r="F369" s="1">
        <v>92</v>
      </c>
      <c r="G369" s="1">
        <v>207</v>
      </c>
      <c r="H369" s="1">
        <v>0.49120000000000003</v>
      </c>
      <c r="I369" s="1">
        <v>102368.13</v>
      </c>
      <c r="J369" s="1" t="s">
        <v>1376</v>
      </c>
      <c r="K369" s="1">
        <v>403</v>
      </c>
    </row>
    <row r="370" spans="1:11" x14ac:dyDescent="0.3">
      <c r="A370" s="1" t="s">
        <v>1377</v>
      </c>
      <c r="B370" s="1" t="s">
        <v>1378</v>
      </c>
      <c r="C370" s="1" t="s">
        <v>1379</v>
      </c>
      <c r="D370" s="1">
        <v>11565580</v>
      </c>
      <c r="E370" s="1">
        <v>220000</v>
      </c>
      <c r="F370" s="1">
        <v>214</v>
      </c>
      <c r="G370" s="1">
        <v>561</v>
      </c>
      <c r="H370" s="1">
        <v>1.9039999999999999</v>
      </c>
      <c r="I370" s="1">
        <v>20616.009999999998</v>
      </c>
      <c r="J370" s="1" t="s">
        <v>1380</v>
      </c>
      <c r="K370" s="1">
        <v>67</v>
      </c>
    </row>
    <row r="371" spans="1:11" x14ac:dyDescent="0.3">
      <c r="A371" s="1" t="s">
        <v>1381</v>
      </c>
      <c r="B371" s="1" t="s">
        <v>1382</v>
      </c>
      <c r="C371" s="1" t="s">
        <v>1383</v>
      </c>
      <c r="D371" s="1">
        <v>29224895</v>
      </c>
      <c r="E371" s="1">
        <v>201000</v>
      </c>
      <c r="F371" s="1">
        <v>210</v>
      </c>
      <c r="G371" s="1">
        <v>264</v>
      </c>
      <c r="H371" s="1">
        <v>0.6885</v>
      </c>
      <c r="I371" s="1">
        <v>110700.36</v>
      </c>
      <c r="J371" s="1" t="s">
        <v>1384</v>
      </c>
      <c r="K371" s="1">
        <v>0</v>
      </c>
    </row>
    <row r="372" spans="1:11" x14ac:dyDescent="0.3">
      <c r="A372" s="1" t="s">
        <v>1385</v>
      </c>
      <c r="B372" s="1" t="s">
        <v>1386</v>
      </c>
      <c r="C372" s="1" t="s">
        <v>1387</v>
      </c>
      <c r="D372" s="1">
        <v>770044</v>
      </c>
      <c r="E372" s="1">
        <v>18000</v>
      </c>
      <c r="F372" s="1">
        <v>334</v>
      </c>
      <c r="G372" s="1">
        <v>26</v>
      </c>
      <c r="H372" s="1">
        <v>2.3809</v>
      </c>
      <c r="I372" s="1">
        <v>29617.08</v>
      </c>
      <c r="J372" s="1" t="s">
        <v>1388</v>
      </c>
      <c r="K372" s="1">
        <v>0</v>
      </c>
    </row>
    <row r="373" spans="1:11" x14ac:dyDescent="0.3">
      <c r="A373" s="1" t="s">
        <v>1389</v>
      </c>
      <c r="B373" s="1" t="s">
        <v>1390</v>
      </c>
      <c r="C373" s="1" t="s">
        <v>1391</v>
      </c>
      <c r="D373" s="1">
        <v>6483</v>
      </c>
      <c r="E373" s="1">
        <v>380</v>
      </c>
      <c r="F373" s="1">
        <v>4</v>
      </c>
      <c r="G373" s="1">
        <v>1</v>
      </c>
      <c r="H373" s="1">
        <v>5.9231999999999996</v>
      </c>
      <c r="I373" s="1">
        <v>6483</v>
      </c>
      <c r="J373" s="1" t="s">
        <v>1392</v>
      </c>
      <c r="K373" s="1">
        <v>0</v>
      </c>
    </row>
    <row r="374" spans="1:11" x14ac:dyDescent="0.3">
      <c r="A374" s="1" t="s">
        <v>1393</v>
      </c>
      <c r="B374" s="1" t="s">
        <v>1394</v>
      </c>
      <c r="C374" s="1" t="s">
        <v>1395</v>
      </c>
      <c r="D374" s="1">
        <v>55098555</v>
      </c>
      <c r="E374" s="1">
        <v>0</v>
      </c>
      <c r="F374" s="1">
        <v>0</v>
      </c>
      <c r="G374" s="1">
        <v>513</v>
      </c>
      <c r="H374" s="1">
        <v>0</v>
      </c>
      <c r="I374" s="1">
        <v>107404.59</v>
      </c>
      <c r="J374" s="1" t="s">
        <v>1396</v>
      </c>
      <c r="K374" s="1">
        <v>20</v>
      </c>
    </row>
    <row r="375" spans="1:11" x14ac:dyDescent="0.3">
      <c r="A375" s="1" t="s">
        <v>1397</v>
      </c>
      <c r="B375" s="1" t="s">
        <v>1398</v>
      </c>
      <c r="C375" s="1" t="s">
        <v>1399</v>
      </c>
      <c r="D375" s="1">
        <v>15748916</v>
      </c>
      <c r="E375" s="1">
        <v>52000</v>
      </c>
      <c r="F375" s="1">
        <v>0</v>
      </c>
      <c r="G375" s="1">
        <v>208</v>
      </c>
      <c r="H375" s="1">
        <v>0.33019999999999999</v>
      </c>
      <c r="I375" s="1">
        <v>75715.94</v>
      </c>
      <c r="J375" s="1" t="s">
        <v>1400</v>
      </c>
      <c r="K375" s="1">
        <v>83</v>
      </c>
    </row>
    <row r="376" spans="1:11" x14ac:dyDescent="0.3">
      <c r="A376" s="1" t="s">
        <v>1401</v>
      </c>
      <c r="B376" s="1" t="s">
        <v>1402</v>
      </c>
      <c r="C376" s="1" t="s">
        <v>1403</v>
      </c>
      <c r="D376" s="1">
        <v>30224615</v>
      </c>
      <c r="E376" s="1">
        <v>435000</v>
      </c>
      <c r="F376" s="1">
        <v>1078</v>
      </c>
      <c r="G376" s="1">
        <v>192</v>
      </c>
      <c r="H376" s="1">
        <v>1.4428000000000001</v>
      </c>
      <c r="I376" s="1">
        <v>157419.87</v>
      </c>
      <c r="J376" s="1" t="s">
        <v>1404</v>
      </c>
      <c r="K376" s="1">
        <v>0</v>
      </c>
    </row>
    <row r="377" spans="1:11" x14ac:dyDescent="0.3">
      <c r="A377" s="1" t="s">
        <v>1405</v>
      </c>
      <c r="B377" s="1" t="s">
        <v>1406</v>
      </c>
      <c r="C377" s="1" t="s">
        <v>1407</v>
      </c>
      <c r="D377" s="1">
        <v>103086356</v>
      </c>
      <c r="E377" s="1">
        <v>1100000</v>
      </c>
      <c r="F377" s="1">
        <v>688</v>
      </c>
      <c r="G377" s="1">
        <v>331</v>
      </c>
      <c r="H377" s="1">
        <v>1.0677000000000001</v>
      </c>
      <c r="I377" s="1">
        <v>311439.14</v>
      </c>
      <c r="J377" s="1" t="s">
        <v>1408</v>
      </c>
      <c r="K377" s="1">
        <v>25</v>
      </c>
    </row>
    <row r="378" spans="1:11" x14ac:dyDescent="0.3">
      <c r="A378" s="1" t="s">
        <v>1409</v>
      </c>
      <c r="B378" s="1" t="s">
        <v>1410</v>
      </c>
      <c r="C378" s="1" t="s">
        <v>1411</v>
      </c>
      <c r="D378" s="1">
        <v>965463</v>
      </c>
      <c r="E378" s="1">
        <v>39000</v>
      </c>
      <c r="F378" s="1">
        <v>432</v>
      </c>
      <c r="G378" s="1">
        <v>3</v>
      </c>
      <c r="H378" s="1">
        <v>4.0842999999999998</v>
      </c>
      <c r="I378" s="1">
        <v>321821</v>
      </c>
      <c r="J378" s="1" t="s">
        <v>1412</v>
      </c>
      <c r="K378" s="1">
        <v>0</v>
      </c>
    </row>
    <row r="379" spans="1:11" x14ac:dyDescent="0.3">
      <c r="A379" s="1" t="s">
        <v>1413</v>
      </c>
      <c r="B379" s="1" t="s">
        <v>1414</v>
      </c>
      <c r="C379" s="1" t="s">
        <v>1415</v>
      </c>
      <c r="D379" s="1">
        <v>544870</v>
      </c>
      <c r="E379" s="1">
        <v>7200</v>
      </c>
      <c r="F379" s="1">
        <v>38</v>
      </c>
      <c r="G379" s="1">
        <v>5</v>
      </c>
      <c r="H379" s="1">
        <v>1.3284</v>
      </c>
      <c r="I379" s="1">
        <v>108974</v>
      </c>
      <c r="J379" s="1" t="s">
        <v>1416</v>
      </c>
      <c r="K379" s="1">
        <v>0</v>
      </c>
    </row>
    <row r="380" spans="1:11" x14ac:dyDescent="0.3">
      <c r="A380" s="1" t="s">
        <v>1417</v>
      </c>
      <c r="B380" s="1" t="s">
        <v>1418</v>
      </c>
      <c r="C380" s="1" t="s">
        <v>1419</v>
      </c>
      <c r="D380" s="1">
        <v>11152802</v>
      </c>
      <c r="E380" s="1">
        <v>203000</v>
      </c>
      <c r="F380" s="1">
        <v>6533</v>
      </c>
      <c r="G380" s="1">
        <v>7</v>
      </c>
      <c r="H380" s="1">
        <v>1.8787</v>
      </c>
      <c r="I380" s="1">
        <v>1593257.43</v>
      </c>
      <c r="J380" s="1" t="s">
        <v>1420</v>
      </c>
      <c r="K380" s="1">
        <v>881</v>
      </c>
    </row>
    <row r="381" spans="1:11" x14ac:dyDescent="0.3">
      <c r="A381" s="1" t="s">
        <v>1421</v>
      </c>
      <c r="B381" s="1" t="s">
        <v>1422</v>
      </c>
      <c r="C381" s="1" t="s">
        <v>1423</v>
      </c>
      <c r="D381" s="1">
        <v>262939</v>
      </c>
      <c r="E381" s="1">
        <v>2100</v>
      </c>
      <c r="F381" s="1">
        <v>35</v>
      </c>
      <c r="G381" s="1">
        <v>5</v>
      </c>
      <c r="H381" s="1">
        <v>0.81200000000000006</v>
      </c>
      <c r="I381" s="1">
        <v>52587.8</v>
      </c>
      <c r="J381" s="1" t="s">
        <v>1424</v>
      </c>
      <c r="K381" s="1">
        <v>28</v>
      </c>
    </row>
    <row r="382" spans="1:11" x14ac:dyDescent="0.3">
      <c r="A382" s="1" t="s">
        <v>1425</v>
      </c>
      <c r="B382" s="1" t="s">
        <v>1426</v>
      </c>
      <c r="C382" s="1" t="s">
        <v>1427</v>
      </c>
      <c r="D382" s="1">
        <v>1140319</v>
      </c>
      <c r="E382" s="1">
        <v>7600</v>
      </c>
      <c r="F382" s="1">
        <v>63</v>
      </c>
      <c r="G382" s="1">
        <v>5</v>
      </c>
      <c r="H382" s="1">
        <v>0.67200000000000004</v>
      </c>
      <c r="I382" s="1">
        <v>228063.8</v>
      </c>
      <c r="J382" s="1" t="s">
        <v>1428</v>
      </c>
      <c r="K382" s="1">
        <v>0</v>
      </c>
    </row>
    <row r="383" spans="1:11" x14ac:dyDescent="0.3">
      <c r="A383" s="1" t="s">
        <v>1429</v>
      </c>
      <c r="B383" s="1" t="s">
        <v>1430</v>
      </c>
      <c r="C383" s="1" t="s">
        <v>1431</v>
      </c>
      <c r="D383" s="1">
        <v>2952440</v>
      </c>
      <c r="E383" s="1">
        <v>26000</v>
      </c>
      <c r="F383" s="1">
        <v>640</v>
      </c>
      <c r="G383" s="1">
        <v>36</v>
      </c>
      <c r="H383" s="1">
        <v>0.90229999999999999</v>
      </c>
      <c r="I383" s="1">
        <v>82012.22</v>
      </c>
      <c r="J383" s="1" t="s">
        <v>1432</v>
      </c>
      <c r="K383" s="1">
        <v>0</v>
      </c>
    </row>
    <row r="384" spans="1:11" x14ac:dyDescent="0.3">
      <c r="A384" s="1" t="s">
        <v>1433</v>
      </c>
      <c r="B384" s="1" t="s">
        <v>1434</v>
      </c>
      <c r="C384" s="1" t="s">
        <v>1435</v>
      </c>
      <c r="D384" s="1">
        <v>35110933</v>
      </c>
      <c r="E384" s="1">
        <v>127000</v>
      </c>
      <c r="F384" s="1">
        <v>1605</v>
      </c>
      <c r="G384" s="1">
        <v>267</v>
      </c>
      <c r="H384" s="1">
        <v>0.36630000000000001</v>
      </c>
      <c r="I384" s="1">
        <v>131501.62</v>
      </c>
      <c r="J384" s="1" t="s">
        <v>1436</v>
      </c>
      <c r="K384" s="1">
        <v>0</v>
      </c>
    </row>
    <row r="385" spans="1:11" x14ac:dyDescent="0.3">
      <c r="A385" s="1" t="s">
        <v>1437</v>
      </c>
      <c r="B385" s="1" t="s">
        <v>1438</v>
      </c>
      <c r="C385" s="1" t="s">
        <v>1268</v>
      </c>
      <c r="D385" s="1">
        <v>5008531</v>
      </c>
      <c r="E385" s="1">
        <v>162000</v>
      </c>
      <c r="F385" s="1">
        <v>1919</v>
      </c>
      <c r="G385" s="1">
        <v>7</v>
      </c>
      <c r="H385" s="1">
        <v>3.2728000000000002</v>
      </c>
      <c r="I385" s="1">
        <v>715504.43</v>
      </c>
      <c r="J385" s="1" t="s">
        <v>1439</v>
      </c>
      <c r="K385" s="1">
        <v>0</v>
      </c>
    </row>
    <row r="386" spans="1:11" x14ac:dyDescent="0.3">
      <c r="A386" s="1" t="s">
        <v>1440</v>
      </c>
      <c r="B386" s="1" t="s">
        <v>1441</v>
      </c>
      <c r="C386" s="1" t="s">
        <v>324</v>
      </c>
      <c r="D386" s="1">
        <v>83859916</v>
      </c>
      <c r="E386" s="1">
        <v>2100000</v>
      </c>
      <c r="F386" s="1">
        <v>15947</v>
      </c>
      <c r="G386" s="1">
        <v>498</v>
      </c>
      <c r="H386" s="1">
        <v>2.5232000000000001</v>
      </c>
      <c r="I386" s="1">
        <v>168393.41</v>
      </c>
      <c r="J386" s="1" t="s">
        <v>1442</v>
      </c>
      <c r="K386" s="1">
        <v>0</v>
      </c>
    </row>
    <row r="387" spans="1:11" x14ac:dyDescent="0.3">
      <c r="A387" s="1" t="s">
        <v>1443</v>
      </c>
      <c r="B387" s="1" t="s">
        <v>1444</v>
      </c>
      <c r="C387" s="1" t="s">
        <v>1445</v>
      </c>
      <c r="D387" s="1">
        <v>3261515</v>
      </c>
      <c r="E387" s="1">
        <v>43000</v>
      </c>
      <c r="F387" s="1">
        <v>317</v>
      </c>
      <c r="G387" s="1">
        <v>36</v>
      </c>
      <c r="H387" s="1">
        <v>1.3281000000000001</v>
      </c>
      <c r="I387" s="1">
        <v>90597.64</v>
      </c>
      <c r="J387" s="1" t="s">
        <v>1446</v>
      </c>
      <c r="K387" s="1">
        <v>0</v>
      </c>
    </row>
    <row r="388" spans="1:11" x14ac:dyDescent="0.3">
      <c r="A388" s="1" t="s">
        <v>1447</v>
      </c>
      <c r="B388" s="1" t="s">
        <v>1448</v>
      </c>
      <c r="C388" s="1" t="s">
        <v>1449</v>
      </c>
      <c r="D388" s="1">
        <v>7752333</v>
      </c>
      <c r="E388" s="1">
        <v>77000</v>
      </c>
      <c r="F388" s="1">
        <v>2542</v>
      </c>
      <c r="G388" s="1">
        <v>24</v>
      </c>
      <c r="H388" s="1">
        <v>1.026</v>
      </c>
      <c r="I388" s="1">
        <v>323013.88</v>
      </c>
      <c r="J388" s="1" t="s">
        <v>1450</v>
      </c>
      <c r="K388" s="1">
        <v>0</v>
      </c>
    </row>
    <row r="389" spans="1:11" x14ac:dyDescent="0.3">
      <c r="A389" s="1" t="s">
        <v>1451</v>
      </c>
      <c r="B389" s="1" t="s">
        <v>1452</v>
      </c>
      <c r="C389" s="1" t="s">
        <v>1453</v>
      </c>
      <c r="D389" s="1">
        <v>10189681</v>
      </c>
      <c r="E389" s="1">
        <v>247000</v>
      </c>
      <c r="F389" s="1">
        <v>2581</v>
      </c>
      <c r="G389" s="1">
        <v>532</v>
      </c>
      <c r="H389" s="1">
        <v>2.4493999999999998</v>
      </c>
      <c r="I389" s="1">
        <v>19153.54</v>
      </c>
      <c r="J389" s="1" t="s">
        <v>1454</v>
      </c>
      <c r="K389" s="1">
        <v>211</v>
      </c>
    </row>
    <row r="390" spans="1:11" x14ac:dyDescent="0.3">
      <c r="A390" s="1" t="s">
        <v>1455</v>
      </c>
      <c r="B390" s="1" t="s">
        <v>1456</v>
      </c>
      <c r="C390" s="1" t="s">
        <v>1457</v>
      </c>
      <c r="D390" s="1">
        <v>10279383</v>
      </c>
      <c r="E390" s="1">
        <v>71000</v>
      </c>
      <c r="F390" s="1">
        <v>57</v>
      </c>
      <c r="G390" s="1">
        <v>4</v>
      </c>
      <c r="H390" s="1">
        <v>0.69130000000000003</v>
      </c>
      <c r="I390" s="1">
        <v>2569845.75</v>
      </c>
      <c r="J390" s="1" t="s">
        <v>1458</v>
      </c>
      <c r="K390" s="1">
        <v>298</v>
      </c>
    </row>
    <row r="391" spans="1:11" x14ac:dyDescent="0.3">
      <c r="A391" s="1" t="s">
        <v>1459</v>
      </c>
      <c r="B391" s="1" t="s">
        <v>1460</v>
      </c>
      <c r="C391" s="1" t="s">
        <v>1461</v>
      </c>
      <c r="D391" s="1">
        <v>14624566</v>
      </c>
      <c r="E391" s="1">
        <v>92000</v>
      </c>
      <c r="F391" s="1">
        <v>904</v>
      </c>
      <c r="G391" s="1">
        <v>186</v>
      </c>
      <c r="H391" s="1">
        <v>0.63529999999999998</v>
      </c>
      <c r="I391" s="1">
        <v>78626.7</v>
      </c>
      <c r="J391" s="1" t="s">
        <v>1462</v>
      </c>
      <c r="K391" s="1">
        <v>205</v>
      </c>
    </row>
    <row r="392" spans="1:11" x14ac:dyDescent="0.3">
      <c r="A392" s="1" t="s">
        <v>1463</v>
      </c>
      <c r="B392" s="1" t="s">
        <v>1464</v>
      </c>
      <c r="C392" s="1" t="s">
        <v>1465</v>
      </c>
      <c r="D392" s="1">
        <v>1070069</v>
      </c>
      <c r="E392" s="1">
        <v>7600</v>
      </c>
      <c r="F392" s="1">
        <v>514</v>
      </c>
      <c r="G392" s="1">
        <v>20</v>
      </c>
      <c r="H392" s="1">
        <v>0.75829999999999997</v>
      </c>
      <c r="I392" s="1">
        <v>53503.45</v>
      </c>
      <c r="J392" s="1" t="s">
        <v>1466</v>
      </c>
      <c r="K392" s="1">
        <v>0</v>
      </c>
    </row>
    <row r="393" spans="1:11" x14ac:dyDescent="0.3">
      <c r="A393" s="1" t="s">
        <v>1467</v>
      </c>
      <c r="B393" s="1" t="s">
        <v>1468</v>
      </c>
      <c r="C393" s="1" t="s">
        <v>796</v>
      </c>
      <c r="D393" s="1">
        <v>2068309</v>
      </c>
      <c r="E393" s="1">
        <v>15000</v>
      </c>
      <c r="F393" s="1">
        <v>136</v>
      </c>
      <c r="G393" s="1">
        <v>299</v>
      </c>
      <c r="H393" s="1">
        <v>0.73180000000000001</v>
      </c>
      <c r="I393" s="1">
        <v>6917.42</v>
      </c>
      <c r="J393" s="1" t="s">
        <v>1469</v>
      </c>
      <c r="K393" s="1">
        <v>0</v>
      </c>
    </row>
    <row r="394" spans="1:11" x14ac:dyDescent="0.3">
      <c r="A394" s="1" t="s">
        <v>1470</v>
      </c>
      <c r="B394" s="1" t="s">
        <v>1471</v>
      </c>
      <c r="C394" s="1" t="s">
        <v>1472</v>
      </c>
      <c r="D394" s="1">
        <v>737008</v>
      </c>
      <c r="E394" s="1">
        <v>3600</v>
      </c>
      <c r="F394" s="1">
        <v>75</v>
      </c>
      <c r="G394" s="1">
        <v>20</v>
      </c>
      <c r="H394" s="1">
        <v>0.49859999999999999</v>
      </c>
      <c r="I394" s="1">
        <v>36850.400000000001</v>
      </c>
      <c r="J394" s="1" t="s">
        <v>1473</v>
      </c>
      <c r="K394" s="1">
        <v>22</v>
      </c>
    </row>
    <row r="395" spans="1:11" x14ac:dyDescent="0.3">
      <c r="A395" s="1" t="s">
        <v>1474</v>
      </c>
      <c r="B395" s="1" t="s">
        <v>1475</v>
      </c>
      <c r="C395" s="1" t="s">
        <v>52</v>
      </c>
      <c r="D395" s="1">
        <v>3621288</v>
      </c>
      <c r="E395" s="1">
        <v>103000</v>
      </c>
      <c r="F395" s="1">
        <v>4811</v>
      </c>
      <c r="G395" s="1">
        <v>10</v>
      </c>
      <c r="H395" s="1">
        <v>2.9771000000000001</v>
      </c>
      <c r="I395" s="1">
        <v>362128.8</v>
      </c>
      <c r="J395" s="1" t="s">
        <v>1476</v>
      </c>
      <c r="K395" s="1">
        <v>261</v>
      </c>
    </row>
    <row r="396" spans="1:11" x14ac:dyDescent="0.3">
      <c r="A396" s="1" t="s">
        <v>1477</v>
      </c>
      <c r="B396" s="1" t="s">
        <v>1406</v>
      </c>
      <c r="C396" s="1" t="s">
        <v>1407</v>
      </c>
      <c r="D396" s="1">
        <v>65806970</v>
      </c>
      <c r="E396" s="1">
        <v>984000</v>
      </c>
      <c r="F396" s="1">
        <v>1339</v>
      </c>
      <c r="G396" s="1">
        <v>242</v>
      </c>
      <c r="H396" s="1">
        <v>1.4973000000000001</v>
      </c>
      <c r="I396" s="1">
        <v>271929.63</v>
      </c>
      <c r="J396" s="1" t="s">
        <v>1478</v>
      </c>
      <c r="K396" s="1">
        <v>25</v>
      </c>
    </row>
    <row r="397" spans="1:11" x14ac:dyDescent="0.3">
      <c r="A397" s="1" t="s">
        <v>1479</v>
      </c>
      <c r="B397" s="1" t="s">
        <v>1480</v>
      </c>
      <c r="C397" s="1" t="s">
        <v>1481</v>
      </c>
      <c r="D397" s="1">
        <v>10867904</v>
      </c>
      <c r="E397" s="1">
        <v>84000</v>
      </c>
      <c r="F397" s="1">
        <v>1075</v>
      </c>
      <c r="G397" s="1">
        <v>198</v>
      </c>
      <c r="H397" s="1">
        <v>0.78280000000000005</v>
      </c>
      <c r="I397" s="1">
        <v>54888.4</v>
      </c>
      <c r="J397" s="1" t="s">
        <v>1482</v>
      </c>
      <c r="K397" s="1">
        <v>0</v>
      </c>
    </row>
    <row r="398" spans="1:11" x14ac:dyDescent="0.3">
      <c r="A398" s="1" t="s">
        <v>1483</v>
      </c>
      <c r="B398" s="1" t="s">
        <v>1484</v>
      </c>
      <c r="C398" s="1" t="s">
        <v>320</v>
      </c>
      <c r="D398" s="1">
        <v>543753</v>
      </c>
      <c r="E398" s="1">
        <v>11000</v>
      </c>
      <c r="F398" s="1">
        <v>383</v>
      </c>
      <c r="G398" s="1">
        <v>6</v>
      </c>
      <c r="H398" s="1">
        <v>2.0933999999999999</v>
      </c>
      <c r="I398" s="1">
        <v>90625.5</v>
      </c>
      <c r="J398" s="1" t="s">
        <v>1485</v>
      </c>
      <c r="K398" s="1">
        <v>99</v>
      </c>
    </row>
    <row r="399" spans="1:11" x14ac:dyDescent="0.3">
      <c r="A399" s="1" t="s">
        <v>1486</v>
      </c>
      <c r="B399" s="1" t="s">
        <v>1487</v>
      </c>
      <c r="C399" s="1" t="s">
        <v>1488</v>
      </c>
      <c r="D399" s="1">
        <v>546432</v>
      </c>
      <c r="E399" s="1">
        <v>9200</v>
      </c>
      <c r="F399" s="1">
        <v>256</v>
      </c>
      <c r="G399" s="1">
        <v>3</v>
      </c>
      <c r="H399" s="1">
        <v>1.7304999999999999</v>
      </c>
      <c r="I399" s="1">
        <v>182144</v>
      </c>
      <c r="J399" s="1" t="s">
        <v>1489</v>
      </c>
      <c r="K399" s="1">
        <v>0</v>
      </c>
    </row>
    <row r="400" spans="1:11" x14ac:dyDescent="0.3">
      <c r="A400" s="1" t="s">
        <v>1490</v>
      </c>
      <c r="B400" s="1" t="s">
        <v>1491</v>
      </c>
      <c r="C400" s="1" t="s">
        <v>309</v>
      </c>
      <c r="D400" s="1">
        <v>1563442</v>
      </c>
      <c r="E400" s="1">
        <v>62000</v>
      </c>
      <c r="F400" s="1">
        <v>441</v>
      </c>
      <c r="G400" s="1">
        <v>5</v>
      </c>
      <c r="H400" s="1">
        <v>3.9937999999999998</v>
      </c>
      <c r="I400" s="1">
        <v>312688.40000000002</v>
      </c>
      <c r="J400" s="1" t="s">
        <v>1492</v>
      </c>
      <c r="K400" s="1">
        <v>0</v>
      </c>
    </row>
    <row r="401" spans="1:11" x14ac:dyDescent="0.3">
      <c r="A401" s="1" t="s">
        <v>1493</v>
      </c>
      <c r="B401" s="1" t="s">
        <v>1494</v>
      </c>
      <c r="C401" s="1" t="s">
        <v>447</v>
      </c>
      <c r="D401" s="1">
        <v>536037</v>
      </c>
      <c r="E401" s="1">
        <v>20000</v>
      </c>
      <c r="F401" s="1">
        <v>1175</v>
      </c>
      <c r="G401" s="1">
        <v>170</v>
      </c>
      <c r="H401" s="1">
        <v>3.9502999999999999</v>
      </c>
      <c r="I401" s="1">
        <v>3153.16</v>
      </c>
      <c r="J401" s="1" t="s">
        <v>1495</v>
      </c>
      <c r="K401" s="1">
        <v>238</v>
      </c>
    </row>
    <row r="402" spans="1:11" x14ac:dyDescent="0.3">
      <c r="A402" s="1" t="s">
        <v>1496</v>
      </c>
      <c r="B402" s="1" t="s">
        <v>1497</v>
      </c>
      <c r="C402" s="1" t="s">
        <v>1407</v>
      </c>
      <c r="D402" s="1">
        <v>47714089</v>
      </c>
      <c r="E402" s="1">
        <v>1000000</v>
      </c>
      <c r="F402" s="1">
        <v>973</v>
      </c>
      <c r="G402" s="1">
        <v>465</v>
      </c>
      <c r="H402" s="1">
        <v>2.0979000000000001</v>
      </c>
      <c r="I402" s="1">
        <v>102610.94</v>
      </c>
      <c r="J402" s="1" t="s">
        <v>1498</v>
      </c>
      <c r="K402" s="1">
        <v>25</v>
      </c>
    </row>
    <row r="403" spans="1:11" x14ac:dyDescent="0.3">
      <c r="A403" s="1" t="s">
        <v>1499</v>
      </c>
      <c r="B403" s="1" t="s">
        <v>1500</v>
      </c>
      <c r="C403" s="1" t="s">
        <v>1501</v>
      </c>
      <c r="D403" s="1">
        <v>7413564</v>
      </c>
      <c r="E403" s="1">
        <v>41000</v>
      </c>
      <c r="F403" s="1">
        <v>651</v>
      </c>
      <c r="G403" s="1">
        <v>24</v>
      </c>
      <c r="H403" s="1">
        <v>0.56179999999999997</v>
      </c>
      <c r="I403" s="1">
        <v>308898.5</v>
      </c>
      <c r="J403" s="1" t="s">
        <v>1502</v>
      </c>
      <c r="K403" s="1">
        <v>809</v>
      </c>
    </row>
    <row r="404" spans="1:11" x14ac:dyDescent="0.3">
      <c r="A404" s="1" t="s">
        <v>1503</v>
      </c>
      <c r="B404" s="1" t="s">
        <v>1504</v>
      </c>
      <c r="C404" s="1" t="s">
        <v>1505</v>
      </c>
      <c r="D404" s="1">
        <v>3287392</v>
      </c>
      <c r="E404" s="1">
        <v>135000</v>
      </c>
      <c r="F404" s="1">
        <v>256</v>
      </c>
      <c r="G404" s="1">
        <v>5</v>
      </c>
      <c r="H404" s="1">
        <v>4.1143999999999998</v>
      </c>
      <c r="I404" s="1">
        <v>657478.40000000002</v>
      </c>
      <c r="J404" s="1" t="s">
        <v>1506</v>
      </c>
      <c r="K404" s="1">
        <v>0</v>
      </c>
    </row>
    <row r="405" spans="1:11" x14ac:dyDescent="0.3">
      <c r="A405" s="1" t="s">
        <v>1507</v>
      </c>
      <c r="B405" s="1" t="s">
        <v>1508</v>
      </c>
      <c r="C405" s="1" t="s">
        <v>29</v>
      </c>
      <c r="D405" s="1">
        <v>1315325</v>
      </c>
      <c r="E405" s="1">
        <v>8300</v>
      </c>
      <c r="F405" s="1">
        <v>265</v>
      </c>
      <c r="G405" s="1">
        <v>484</v>
      </c>
      <c r="H405" s="1">
        <v>0.6512</v>
      </c>
      <c r="I405" s="1">
        <v>2717.61</v>
      </c>
      <c r="J405" s="1" t="s">
        <v>1509</v>
      </c>
      <c r="K405" s="1">
        <v>1231</v>
      </c>
    </row>
    <row r="406" spans="1:11" x14ac:dyDescent="0.3">
      <c r="A406" s="1" t="s">
        <v>1510</v>
      </c>
      <c r="B406" s="1" t="s">
        <v>1511</v>
      </c>
      <c r="C406" s="1" t="s">
        <v>1403</v>
      </c>
      <c r="D406" s="1">
        <v>65957182</v>
      </c>
      <c r="E406" s="1">
        <v>918000</v>
      </c>
      <c r="F406" s="1">
        <v>1527</v>
      </c>
      <c r="G406" s="1">
        <v>161</v>
      </c>
      <c r="H406" s="1">
        <v>1.3940999999999999</v>
      </c>
      <c r="I406" s="1">
        <v>409671.94</v>
      </c>
      <c r="J406" s="1" t="s">
        <v>1512</v>
      </c>
      <c r="K406" s="1">
        <v>0</v>
      </c>
    </row>
    <row r="407" spans="1:11" x14ac:dyDescent="0.3">
      <c r="A407" s="1" t="s">
        <v>1513</v>
      </c>
      <c r="B407" s="1" t="s">
        <v>1514</v>
      </c>
      <c r="C407" s="1" t="s">
        <v>1445</v>
      </c>
      <c r="D407" s="1">
        <v>28113986</v>
      </c>
      <c r="E407" s="1">
        <v>777000</v>
      </c>
      <c r="F407" s="1">
        <v>6525</v>
      </c>
      <c r="G407" s="1">
        <v>769</v>
      </c>
      <c r="H407" s="1">
        <v>2.7869999999999999</v>
      </c>
      <c r="I407" s="1">
        <v>36559.15</v>
      </c>
      <c r="J407" s="1" t="s">
        <v>1515</v>
      </c>
      <c r="K407" s="1">
        <v>0</v>
      </c>
    </row>
    <row r="408" spans="1:11" x14ac:dyDescent="0.3">
      <c r="A408" s="1" t="s">
        <v>1516</v>
      </c>
      <c r="B408" s="1" t="s">
        <v>1517</v>
      </c>
      <c r="C408" s="1" t="s">
        <v>1518</v>
      </c>
      <c r="D408" s="1">
        <v>18439910</v>
      </c>
      <c r="E408" s="1">
        <v>46000</v>
      </c>
      <c r="F408" s="1">
        <v>0</v>
      </c>
      <c r="G408" s="1">
        <v>1040</v>
      </c>
      <c r="H408" s="1">
        <v>0.2495</v>
      </c>
      <c r="I408" s="1">
        <v>17730.68</v>
      </c>
      <c r="J408" s="1" t="s">
        <v>1519</v>
      </c>
      <c r="K408" s="1">
        <v>14</v>
      </c>
    </row>
    <row r="409" spans="1:11" x14ac:dyDescent="0.3">
      <c r="A409" s="1" t="s">
        <v>1520</v>
      </c>
      <c r="B409" s="1" t="s">
        <v>1521</v>
      </c>
      <c r="C409" s="1" t="s">
        <v>90</v>
      </c>
      <c r="D409" s="1">
        <v>1040197</v>
      </c>
      <c r="E409" s="1">
        <v>29000</v>
      </c>
      <c r="F409" s="1">
        <v>7377</v>
      </c>
      <c r="G409" s="1">
        <v>222</v>
      </c>
      <c r="H409" s="1">
        <v>3.4971000000000001</v>
      </c>
      <c r="I409" s="1">
        <v>4685.57</v>
      </c>
      <c r="J409" s="1" t="s">
        <v>1522</v>
      </c>
      <c r="K409" s="1">
        <v>113</v>
      </c>
    </row>
    <row r="410" spans="1:11" x14ac:dyDescent="0.3">
      <c r="A410" s="1" t="s">
        <v>1523</v>
      </c>
      <c r="B410" s="1" t="s">
        <v>1524</v>
      </c>
      <c r="C410" s="1" t="s">
        <v>1525</v>
      </c>
      <c r="D410" s="1">
        <v>4127</v>
      </c>
      <c r="E410" s="1">
        <v>53</v>
      </c>
      <c r="F410" s="1">
        <v>0</v>
      </c>
      <c r="G410" s="1">
        <v>1</v>
      </c>
      <c r="H410" s="1">
        <v>1.2842</v>
      </c>
      <c r="I410" s="1">
        <v>4127</v>
      </c>
      <c r="J410" s="1" t="s">
        <v>1526</v>
      </c>
      <c r="K410" s="1">
        <v>0</v>
      </c>
    </row>
    <row r="411" spans="1:11" x14ac:dyDescent="0.3">
      <c r="A411" s="1" t="s">
        <v>1527</v>
      </c>
      <c r="B411" s="1" t="s">
        <v>1528</v>
      </c>
      <c r="C411" s="1" t="s">
        <v>447</v>
      </c>
      <c r="D411" s="1">
        <v>529833</v>
      </c>
      <c r="E411" s="1">
        <v>21000</v>
      </c>
      <c r="F411" s="1">
        <v>1460</v>
      </c>
      <c r="G411" s="1">
        <v>163</v>
      </c>
      <c r="H411" s="1">
        <v>4.2390999999999996</v>
      </c>
      <c r="I411" s="1">
        <v>3250.51</v>
      </c>
      <c r="J411" s="1" t="s">
        <v>1529</v>
      </c>
      <c r="K411" s="1">
        <v>289</v>
      </c>
    </row>
    <row r="412" spans="1:11" x14ac:dyDescent="0.3">
      <c r="A412" s="1" t="s">
        <v>1530</v>
      </c>
      <c r="B412" s="1" t="s">
        <v>1531</v>
      </c>
      <c r="C412" s="1" t="s">
        <v>1532</v>
      </c>
      <c r="D412" s="1">
        <v>29227</v>
      </c>
      <c r="E412" s="1">
        <v>414</v>
      </c>
      <c r="F412" s="1">
        <v>59</v>
      </c>
      <c r="G412" s="1">
        <v>3</v>
      </c>
      <c r="H412" s="1">
        <v>1.6184000000000001</v>
      </c>
      <c r="I412" s="1">
        <v>9742.33</v>
      </c>
      <c r="J412" s="1" t="s">
        <v>1533</v>
      </c>
      <c r="K412" s="1">
        <v>206</v>
      </c>
    </row>
    <row r="413" spans="1:11" x14ac:dyDescent="0.3">
      <c r="A413" s="1" t="s">
        <v>1534</v>
      </c>
      <c r="B413" s="1" t="s">
        <v>1535</v>
      </c>
      <c r="C413" s="1" t="s">
        <v>1536</v>
      </c>
      <c r="D413" s="1">
        <v>13118313</v>
      </c>
      <c r="E413" s="1">
        <v>39000</v>
      </c>
      <c r="F413" s="1">
        <v>939</v>
      </c>
      <c r="G413" s="1">
        <v>328</v>
      </c>
      <c r="H413" s="1">
        <v>0.30449999999999999</v>
      </c>
      <c r="I413" s="1">
        <v>39994.86</v>
      </c>
      <c r="J413" s="1" t="s">
        <v>1537</v>
      </c>
      <c r="K413" s="1">
        <v>68</v>
      </c>
    </row>
    <row r="414" spans="1:11" x14ac:dyDescent="0.3">
      <c r="A414" s="1" t="s">
        <v>1538</v>
      </c>
      <c r="B414" s="1" t="s">
        <v>1539</v>
      </c>
      <c r="C414" s="1" t="s">
        <v>1540</v>
      </c>
      <c r="D414" s="1">
        <v>3367</v>
      </c>
      <c r="E414" s="1">
        <v>26</v>
      </c>
      <c r="F414" s="1">
        <v>0</v>
      </c>
      <c r="G414" s="1">
        <v>1</v>
      </c>
      <c r="H414" s="1">
        <v>0.7722</v>
      </c>
      <c r="I414" s="1">
        <v>3367</v>
      </c>
      <c r="J414" s="1" t="s">
        <v>1541</v>
      </c>
      <c r="K414" s="1">
        <v>648</v>
      </c>
    </row>
    <row r="415" spans="1:11" x14ac:dyDescent="0.3">
      <c r="A415" s="1" t="s">
        <v>1542</v>
      </c>
      <c r="B415" s="1" t="s">
        <v>1543</v>
      </c>
      <c r="C415" s="1" t="s">
        <v>525</v>
      </c>
      <c r="D415" s="1">
        <v>193326</v>
      </c>
      <c r="E415" s="1">
        <v>2800</v>
      </c>
      <c r="F415" s="1">
        <v>112</v>
      </c>
      <c r="G415" s="1">
        <v>73</v>
      </c>
      <c r="H415" s="1">
        <v>1.5063</v>
      </c>
      <c r="I415" s="1">
        <v>2648.3</v>
      </c>
      <c r="J415" s="1" t="s">
        <v>1544</v>
      </c>
      <c r="K415" s="1">
        <v>706</v>
      </c>
    </row>
    <row r="416" spans="1:11" x14ac:dyDescent="0.3">
      <c r="A416" s="1" t="s">
        <v>1545</v>
      </c>
      <c r="B416" s="1" t="s">
        <v>1546</v>
      </c>
      <c r="C416" s="1" t="s">
        <v>1547</v>
      </c>
      <c r="D416" s="1">
        <v>1856489</v>
      </c>
      <c r="E416" s="1">
        <v>6600</v>
      </c>
      <c r="F416" s="1">
        <v>196</v>
      </c>
      <c r="G416" s="1">
        <v>69</v>
      </c>
      <c r="H416" s="1">
        <v>0.36609999999999998</v>
      </c>
      <c r="I416" s="1">
        <v>26905.64</v>
      </c>
      <c r="J416" s="1" t="s">
        <v>1548</v>
      </c>
      <c r="K416" s="1">
        <v>1320</v>
      </c>
    </row>
    <row r="417" spans="1:11" x14ac:dyDescent="0.3">
      <c r="A417" s="1" t="s">
        <v>1549</v>
      </c>
      <c r="B417" s="1" t="s">
        <v>1550</v>
      </c>
      <c r="C417" s="1" t="s">
        <v>1551</v>
      </c>
      <c r="D417" s="1">
        <v>197248</v>
      </c>
      <c r="E417" s="1">
        <v>8800</v>
      </c>
      <c r="F417" s="1">
        <v>736</v>
      </c>
      <c r="G417" s="1">
        <v>130</v>
      </c>
      <c r="H417" s="1">
        <v>4.8345000000000002</v>
      </c>
      <c r="I417" s="1">
        <v>1517.29</v>
      </c>
      <c r="J417" s="1" t="s">
        <v>1552</v>
      </c>
      <c r="K417" s="1">
        <v>489</v>
      </c>
    </row>
    <row r="418" spans="1:11" x14ac:dyDescent="0.3">
      <c r="A418" s="1" t="s">
        <v>1553</v>
      </c>
      <c r="B418" s="1" t="s">
        <v>1554</v>
      </c>
      <c r="C418" s="1" t="s">
        <v>1555</v>
      </c>
      <c r="D418" s="1">
        <v>16814</v>
      </c>
      <c r="E418" s="1">
        <v>718</v>
      </c>
      <c r="F418" s="1">
        <v>49</v>
      </c>
      <c r="G418" s="1">
        <v>39</v>
      </c>
      <c r="H418" s="1">
        <v>4.5617000000000001</v>
      </c>
      <c r="I418" s="1">
        <v>431.13</v>
      </c>
      <c r="J418" s="1" t="s">
        <v>1556</v>
      </c>
      <c r="K418" s="1">
        <v>1026</v>
      </c>
    </row>
    <row r="419" spans="1:11" x14ac:dyDescent="0.3">
      <c r="A419" s="1" t="s">
        <v>1557</v>
      </c>
      <c r="B419" s="1" t="s">
        <v>1558</v>
      </c>
      <c r="C419" s="1" t="s">
        <v>1559</v>
      </c>
      <c r="D419" s="1">
        <v>720129</v>
      </c>
      <c r="E419" s="1">
        <v>26000</v>
      </c>
      <c r="F419" s="1">
        <v>2585</v>
      </c>
      <c r="G419" s="1">
        <v>123</v>
      </c>
      <c r="H419" s="1">
        <v>3.9693999999999998</v>
      </c>
      <c r="I419" s="1">
        <v>5854.71</v>
      </c>
      <c r="J419" s="1" t="s">
        <v>1560</v>
      </c>
      <c r="K419" s="1">
        <v>1913</v>
      </c>
    </row>
    <row r="420" spans="1:11" x14ac:dyDescent="0.3">
      <c r="A420" s="1" t="s">
        <v>1561</v>
      </c>
      <c r="B420" s="1" t="s">
        <v>1562</v>
      </c>
      <c r="C420" s="1" t="s">
        <v>432</v>
      </c>
      <c r="D420" s="1">
        <v>1068013</v>
      </c>
      <c r="E420" s="1">
        <v>3100</v>
      </c>
      <c r="F420" s="1">
        <v>134</v>
      </c>
      <c r="G420" s="1">
        <v>125</v>
      </c>
      <c r="H420" s="1">
        <v>0.30280000000000001</v>
      </c>
      <c r="I420" s="1">
        <v>8544.1</v>
      </c>
      <c r="J420" s="1" t="s">
        <v>1563</v>
      </c>
      <c r="K420" s="1">
        <v>305</v>
      </c>
    </row>
    <row r="421" spans="1:11" x14ac:dyDescent="0.3">
      <c r="A421" s="1" t="s">
        <v>1564</v>
      </c>
      <c r="B421" s="1" t="s">
        <v>1565</v>
      </c>
      <c r="C421" s="1" t="s">
        <v>37</v>
      </c>
      <c r="D421" s="1">
        <v>280311</v>
      </c>
      <c r="E421" s="1">
        <v>4000</v>
      </c>
      <c r="F421" s="1">
        <v>583</v>
      </c>
      <c r="G421" s="1">
        <v>61</v>
      </c>
      <c r="H421" s="1">
        <v>1.635</v>
      </c>
      <c r="I421" s="1">
        <v>4595.26</v>
      </c>
      <c r="J421" s="1" t="s">
        <v>1566</v>
      </c>
      <c r="K421" s="1">
        <v>561</v>
      </c>
    </row>
    <row r="422" spans="1:11" x14ac:dyDescent="0.3">
      <c r="A422" s="1" t="s">
        <v>1567</v>
      </c>
      <c r="B422" s="1" t="s">
        <v>1568</v>
      </c>
      <c r="C422" s="1" t="s">
        <v>1569</v>
      </c>
      <c r="D422" s="1">
        <v>14583460</v>
      </c>
      <c r="E422" s="1">
        <v>0</v>
      </c>
      <c r="F422" s="1">
        <v>724</v>
      </c>
      <c r="G422" s="1">
        <v>255</v>
      </c>
      <c r="H422" s="1">
        <v>5.0000000000000001E-3</v>
      </c>
      <c r="I422" s="1">
        <v>57190.04</v>
      </c>
      <c r="J422" s="1" t="s">
        <v>1570</v>
      </c>
      <c r="K422" s="1">
        <v>87</v>
      </c>
    </row>
    <row r="423" spans="1:11" x14ac:dyDescent="0.3">
      <c r="A423" s="1" t="e">
        <f>-gNC8katd2I</f>
        <v>#NAME?</v>
      </c>
      <c r="B423" s="1" t="s">
        <v>1571</v>
      </c>
      <c r="C423" s="1" t="s">
        <v>1572</v>
      </c>
      <c r="D423" s="1">
        <v>4593</v>
      </c>
      <c r="E423" s="1">
        <v>250</v>
      </c>
      <c r="F423" s="1">
        <v>0</v>
      </c>
      <c r="G423" s="1">
        <v>1</v>
      </c>
      <c r="H423" s="1">
        <v>5.4431000000000003</v>
      </c>
      <c r="I423" s="1">
        <v>4593</v>
      </c>
      <c r="J423" s="1" t="s">
        <v>1573</v>
      </c>
      <c r="K423" s="1">
        <v>0</v>
      </c>
    </row>
    <row r="424" spans="1:11" x14ac:dyDescent="0.3">
      <c r="A424" s="1" t="s">
        <v>1574</v>
      </c>
      <c r="B424" s="1" t="s">
        <v>1575</v>
      </c>
      <c r="C424" s="1" t="s">
        <v>1576</v>
      </c>
      <c r="D424" s="1">
        <v>8423130</v>
      </c>
      <c r="E424" s="1">
        <v>168000</v>
      </c>
      <c r="F424" s="1">
        <v>1896</v>
      </c>
      <c r="G424" s="1">
        <v>255</v>
      </c>
      <c r="H424" s="1">
        <v>2.0169999999999999</v>
      </c>
      <c r="I424" s="1">
        <v>33031.879999999997</v>
      </c>
      <c r="J424" s="1" t="s">
        <v>1577</v>
      </c>
      <c r="K424" s="1">
        <v>0</v>
      </c>
    </row>
    <row r="425" spans="1:11" x14ac:dyDescent="0.3">
      <c r="A425" s="1" t="s">
        <v>1578</v>
      </c>
      <c r="B425" s="1" t="s">
        <v>1579</v>
      </c>
      <c r="C425" s="1" t="s">
        <v>1387</v>
      </c>
      <c r="D425" s="1">
        <v>2705469</v>
      </c>
      <c r="E425" s="1">
        <v>86000</v>
      </c>
      <c r="F425" s="1">
        <v>4541</v>
      </c>
      <c r="G425" s="1">
        <v>8</v>
      </c>
      <c r="H425" s="1">
        <v>3.3466</v>
      </c>
      <c r="I425" s="1">
        <v>338183.62</v>
      </c>
      <c r="J425" s="1" t="s">
        <v>1580</v>
      </c>
      <c r="K425" s="1">
        <v>0</v>
      </c>
    </row>
    <row r="426" spans="1:11" x14ac:dyDescent="0.3">
      <c r="A426" s="1" t="s">
        <v>1581</v>
      </c>
      <c r="B426" s="1" t="s">
        <v>1582</v>
      </c>
      <c r="C426" s="1" t="s">
        <v>1407</v>
      </c>
      <c r="D426" s="1">
        <v>11648200</v>
      </c>
      <c r="E426" s="1">
        <v>113000</v>
      </c>
      <c r="F426" s="1">
        <v>0</v>
      </c>
      <c r="G426" s="1">
        <v>5</v>
      </c>
      <c r="H426" s="1">
        <v>0.97009999999999996</v>
      </c>
      <c r="I426" s="1">
        <v>2329640</v>
      </c>
      <c r="J426" s="1" t="s">
        <v>1583</v>
      </c>
      <c r="K426" s="1">
        <v>25</v>
      </c>
    </row>
    <row r="427" spans="1:11" x14ac:dyDescent="0.3">
      <c r="A427" s="1" t="s">
        <v>1584</v>
      </c>
      <c r="B427" s="1" t="s">
        <v>1585</v>
      </c>
      <c r="C427" s="1" t="s">
        <v>1586</v>
      </c>
      <c r="D427" s="1">
        <v>257913828</v>
      </c>
      <c r="E427" s="1">
        <v>3700000</v>
      </c>
      <c r="F427" s="1">
        <v>10120</v>
      </c>
      <c r="G427" s="1">
        <v>1167</v>
      </c>
      <c r="H427" s="1">
        <v>1.4384999999999999</v>
      </c>
      <c r="I427" s="1">
        <v>221005.85</v>
      </c>
      <c r="J427" s="1" t="s">
        <v>1587</v>
      </c>
      <c r="K427" s="1">
        <v>104</v>
      </c>
    </row>
    <row r="428" spans="1:11" x14ac:dyDescent="0.3">
      <c r="A428" s="1" t="s">
        <v>1588</v>
      </c>
      <c r="B428" s="1" t="s">
        <v>1589</v>
      </c>
      <c r="C428" s="1" t="s">
        <v>1590</v>
      </c>
      <c r="D428" s="1">
        <v>39412008</v>
      </c>
      <c r="E428" s="1">
        <v>208000</v>
      </c>
      <c r="F428" s="1">
        <v>555</v>
      </c>
      <c r="G428" s="1">
        <v>339</v>
      </c>
      <c r="H428" s="1">
        <v>0.5292</v>
      </c>
      <c r="I428" s="1">
        <v>116259.61</v>
      </c>
      <c r="J428" s="1" t="s">
        <v>1591</v>
      </c>
      <c r="K428" s="1">
        <v>0</v>
      </c>
    </row>
    <row r="429" spans="1:11" x14ac:dyDescent="0.3">
      <c r="A429" s="1" t="s">
        <v>1592</v>
      </c>
      <c r="B429" s="1" t="s">
        <v>1593</v>
      </c>
      <c r="C429" s="1" t="s">
        <v>1594</v>
      </c>
      <c r="D429" s="1">
        <v>33752617</v>
      </c>
      <c r="E429" s="1">
        <v>721000</v>
      </c>
      <c r="F429" s="1">
        <v>843</v>
      </c>
      <c r="G429" s="1">
        <v>298</v>
      </c>
      <c r="H429" s="1">
        <v>2.1385999999999998</v>
      </c>
      <c r="I429" s="1">
        <v>113263.82</v>
      </c>
      <c r="J429" s="1" t="s">
        <v>1595</v>
      </c>
      <c r="K429" s="1">
        <v>387</v>
      </c>
    </row>
    <row r="430" spans="1:11" x14ac:dyDescent="0.3">
      <c r="A430" s="1" t="s">
        <v>1596</v>
      </c>
      <c r="B430" s="1" t="s">
        <v>1597</v>
      </c>
      <c r="C430" s="1" t="s">
        <v>1598</v>
      </c>
      <c r="D430" s="1">
        <v>768348</v>
      </c>
      <c r="E430" s="1">
        <v>13000</v>
      </c>
      <c r="F430" s="1">
        <v>58</v>
      </c>
      <c r="G430" s="1">
        <v>1</v>
      </c>
      <c r="H430" s="1">
        <v>1.6995</v>
      </c>
      <c r="I430" s="1">
        <v>768348</v>
      </c>
      <c r="J430" s="1" t="s">
        <v>1599</v>
      </c>
      <c r="K430" s="1">
        <v>0</v>
      </c>
    </row>
    <row r="431" spans="1:11" x14ac:dyDescent="0.3">
      <c r="A431" s="1" t="s">
        <v>1600</v>
      </c>
      <c r="B431" s="1" t="s">
        <v>1601</v>
      </c>
      <c r="C431" s="1" t="s">
        <v>1602</v>
      </c>
      <c r="D431" s="1">
        <v>3115336</v>
      </c>
      <c r="E431" s="1">
        <v>90000</v>
      </c>
      <c r="F431" s="1">
        <v>460</v>
      </c>
      <c r="G431" s="1">
        <v>3</v>
      </c>
      <c r="H431" s="1">
        <v>2.9037000000000002</v>
      </c>
      <c r="I431" s="1">
        <v>1038445.33</v>
      </c>
      <c r="J431" s="1" t="s">
        <v>1603</v>
      </c>
      <c r="K431" s="1">
        <v>0</v>
      </c>
    </row>
    <row r="432" spans="1:11" x14ac:dyDescent="0.3">
      <c r="A432" s="1" t="s">
        <v>1604</v>
      </c>
      <c r="B432" s="1" t="s">
        <v>1605</v>
      </c>
      <c r="C432" s="1" t="s">
        <v>1606</v>
      </c>
      <c r="D432" s="1">
        <v>804689</v>
      </c>
      <c r="E432" s="1">
        <v>14000</v>
      </c>
      <c r="F432" s="1">
        <v>54</v>
      </c>
      <c r="G432" s="1">
        <v>1</v>
      </c>
      <c r="H432" s="1">
        <v>1.7464999999999999</v>
      </c>
      <c r="I432" s="1">
        <v>804689</v>
      </c>
      <c r="J432" s="1" t="s">
        <v>1607</v>
      </c>
      <c r="K432" s="1">
        <v>0</v>
      </c>
    </row>
    <row r="433" spans="1:11" x14ac:dyDescent="0.3">
      <c r="A433" s="1" t="s">
        <v>1608</v>
      </c>
      <c r="B433" s="1" t="s">
        <v>1609</v>
      </c>
      <c r="C433" s="1" t="s">
        <v>1610</v>
      </c>
      <c r="D433" s="1">
        <v>176347419</v>
      </c>
      <c r="E433" s="1">
        <v>2500000</v>
      </c>
      <c r="F433" s="1">
        <v>4107</v>
      </c>
      <c r="G433" s="1">
        <v>536</v>
      </c>
      <c r="H433" s="1">
        <v>1.42</v>
      </c>
      <c r="I433" s="1">
        <v>329006.38</v>
      </c>
      <c r="J433" s="1" t="s">
        <v>1611</v>
      </c>
      <c r="K433" s="1">
        <v>0</v>
      </c>
    </row>
    <row r="434" spans="1:11" x14ac:dyDescent="0.3">
      <c r="A434" s="1" t="s">
        <v>1612</v>
      </c>
      <c r="B434" s="1" t="s">
        <v>1129</v>
      </c>
      <c r="C434" s="1" t="s">
        <v>1130</v>
      </c>
      <c r="D434" s="1">
        <v>45490048</v>
      </c>
      <c r="E434" s="1">
        <v>505000</v>
      </c>
      <c r="F434" s="1">
        <v>755</v>
      </c>
      <c r="G434" s="1">
        <v>211</v>
      </c>
      <c r="H434" s="1">
        <v>1.1117999999999999</v>
      </c>
      <c r="I434" s="1">
        <v>215592.64</v>
      </c>
      <c r="J434" s="1" t="s">
        <v>1613</v>
      </c>
      <c r="K434" s="1">
        <v>60</v>
      </c>
    </row>
    <row r="435" spans="1:11" x14ac:dyDescent="0.3">
      <c r="A435" s="1" t="s">
        <v>1614</v>
      </c>
      <c r="B435" s="1" t="s">
        <v>1615</v>
      </c>
      <c r="C435" s="1" t="s">
        <v>1616</v>
      </c>
      <c r="D435" s="1">
        <v>73760944</v>
      </c>
      <c r="E435" s="1">
        <v>1100000</v>
      </c>
      <c r="F435" s="1">
        <v>4554</v>
      </c>
      <c r="G435" s="1">
        <v>392</v>
      </c>
      <c r="H435" s="1">
        <v>1.4975000000000001</v>
      </c>
      <c r="I435" s="1">
        <v>188165.67</v>
      </c>
      <c r="J435" s="1" t="s">
        <v>1617</v>
      </c>
      <c r="K435" s="1">
        <v>0</v>
      </c>
    </row>
    <row r="436" spans="1:11" x14ac:dyDescent="0.3">
      <c r="A436" s="1" t="s">
        <v>1618</v>
      </c>
      <c r="B436" s="1" t="s">
        <v>1619</v>
      </c>
      <c r="C436" s="1" t="s">
        <v>1620</v>
      </c>
      <c r="D436" s="1">
        <v>281981</v>
      </c>
      <c r="E436" s="1">
        <v>4200</v>
      </c>
      <c r="F436" s="1">
        <v>305</v>
      </c>
      <c r="G436" s="1">
        <v>37</v>
      </c>
      <c r="H436" s="1">
        <v>1.5975999999999999</v>
      </c>
      <c r="I436" s="1">
        <v>7621.11</v>
      </c>
      <c r="J436" s="1" t="s">
        <v>1621</v>
      </c>
      <c r="K436" s="1">
        <v>140</v>
      </c>
    </row>
    <row r="437" spans="1:11" x14ac:dyDescent="0.3">
      <c r="A437" s="1" t="s">
        <v>1622</v>
      </c>
      <c r="B437" s="1" t="s">
        <v>1623</v>
      </c>
      <c r="C437" s="1" t="s">
        <v>1624</v>
      </c>
      <c r="D437" s="1">
        <v>192988</v>
      </c>
      <c r="E437" s="1">
        <v>5800</v>
      </c>
      <c r="F437" s="1">
        <v>61</v>
      </c>
      <c r="G437" s="1">
        <v>18</v>
      </c>
      <c r="H437" s="1">
        <v>3.0369999999999999</v>
      </c>
      <c r="I437" s="1">
        <v>10721.56</v>
      </c>
      <c r="J437" s="1" t="s">
        <v>1625</v>
      </c>
      <c r="K437" s="1">
        <v>0</v>
      </c>
    </row>
    <row r="438" spans="1:11" x14ac:dyDescent="0.3">
      <c r="A438" s="1" t="s">
        <v>1626</v>
      </c>
      <c r="B438" s="1" t="s">
        <v>1627</v>
      </c>
      <c r="C438" s="1" t="s">
        <v>324</v>
      </c>
      <c r="D438" s="1">
        <v>35712532</v>
      </c>
      <c r="E438" s="1">
        <v>1100000</v>
      </c>
      <c r="F438" s="1">
        <v>12236</v>
      </c>
      <c r="G438" s="1">
        <v>963</v>
      </c>
      <c r="H438" s="1">
        <v>3.1143999999999998</v>
      </c>
      <c r="I438" s="1">
        <v>37084.660000000003</v>
      </c>
      <c r="J438" s="1" t="s">
        <v>1628</v>
      </c>
      <c r="K438" s="1">
        <v>275</v>
      </c>
    </row>
    <row r="439" spans="1:11" x14ac:dyDescent="0.3">
      <c r="A439" s="1" t="s">
        <v>1629</v>
      </c>
      <c r="B439" s="1" t="s">
        <v>1630</v>
      </c>
      <c r="C439" s="1" t="s">
        <v>340</v>
      </c>
      <c r="D439" s="1">
        <v>5114847</v>
      </c>
      <c r="E439" s="1">
        <v>8500</v>
      </c>
      <c r="F439" s="1">
        <v>144</v>
      </c>
      <c r="G439" s="1">
        <v>144</v>
      </c>
      <c r="H439" s="1">
        <v>0.16900000000000001</v>
      </c>
      <c r="I439" s="1">
        <v>35519.769999999997</v>
      </c>
      <c r="J439" s="1" t="s">
        <v>1631</v>
      </c>
      <c r="K439" s="1">
        <v>0</v>
      </c>
    </row>
    <row r="440" spans="1:11" x14ac:dyDescent="0.3">
      <c r="A440" s="1" t="s">
        <v>1632</v>
      </c>
      <c r="B440" s="1" t="s">
        <v>1633</v>
      </c>
      <c r="C440" s="1" t="s">
        <v>1634</v>
      </c>
      <c r="D440" s="1">
        <v>1734962</v>
      </c>
      <c r="E440" s="1">
        <v>69000</v>
      </c>
      <c r="F440" s="1">
        <v>5904</v>
      </c>
      <c r="G440" s="1">
        <v>285</v>
      </c>
      <c r="H440" s="1">
        <v>4.3173000000000004</v>
      </c>
      <c r="I440" s="1">
        <v>6087.59</v>
      </c>
      <c r="J440" s="1" t="s">
        <v>1635</v>
      </c>
      <c r="K440" s="1">
        <v>3139</v>
      </c>
    </row>
    <row r="441" spans="1:11" x14ac:dyDescent="0.3">
      <c r="A441" s="1" t="s">
        <v>1636</v>
      </c>
      <c r="B441" s="1" t="s">
        <v>1637</v>
      </c>
      <c r="C441" s="1" t="s">
        <v>1638</v>
      </c>
      <c r="D441" s="1">
        <v>129940493</v>
      </c>
      <c r="E441" s="1">
        <v>1600000</v>
      </c>
      <c r="F441" s="1">
        <v>2588</v>
      </c>
      <c r="G441" s="1">
        <v>495</v>
      </c>
      <c r="H441" s="1">
        <v>1.2333000000000001</v>
      </c>
      <c r="I441" s="1">
        <v>262506.05</v>
      </c>
      <c r="J441" s="1" t="s">
        <v>1639</v>
      </c>
      <c r="K441" s="1">
        <v>0</v>
      </c>
    </row>
    <row r="442" spans="1:11" x14ac:dyDescent="0.3">
      <c r="A442" s="1" t="s">
        <v>1640</v>
      </c>
      <c r="B442" s="1" t="s">
        <v>1641</v>
      </c>
      <c r="C442" s="1" t="s">
        <v>1642</v>
      </c>
      <c r="D442" s="1">
        <v>758384</v>
      </c>
      <c r="E442" s="1">
        <v>24000</v>
      </c>
      <c r="F442" s="1">
        <v>903</v>
      </c>
      <c r="G442" s="1">
        <v>5</v>
      </c>
      <c r="H442" s="1">
        <v>3.2837000000000001</v>
      </c>
      <c r="I442" s="1">
        <v>151676.79999999999</v>
      </c>
      <c r="J442" s="1" t="s">
        <v>1643</v>
      </c>
      <c r="K442" s="1">
        <v>78</v>
      </c>
    </row>
    <row r="443" spans="1:11" x14ac:dyDescent="0.3">
      <c r="A443" s="1" t="s">
        <v>1644</v>
      </c>
      <c r="B443" s="1" t="s">
        <v>1645</v>
      </c>
      <c r="C443" s="1" t="s">
        <v>1646</v>
      </c>
      <c r="D443" s="1">
        <v>16253</v>
      </c>
      <c r="E443" s="1">
        <v>189</v>
      </c>
      <c r="F443" s="1">
        <v>2</v>
      </c>
      <c r="G443" s="1">
        <v>1</v>
      </c>
      <c r="H443" s="1">
        <v>1.1752</v>
      </c>
      <c r="I443" s="1">
        <v>16253</v>
      </c>
      <c r="J443" s="1" t="s">
        <v>1647</v>
      </c>
      <c r="K443" s="1">
        <v>3045</v>
      </c>
    </row>
    <row r="444" spans="1:11" x14ac:dyDescent="0.3">
      <c r="A444" s="1" t="s">
        <v>1648</v>
      </c>
      <c r="B444" s="1" t="s">
        <v>1649</v>
      </c>
      <c r="C444" s="1" t="s">
        <v>1650</v>
      </c>
      <c r="D444" s="1">
        <v>6770658</v>
      </c>
      <c r="E444" s="1">
        <v>0</v>
      </c>
      <c r="F444" s="1">
        <v>735</v>
      </c>
      <c r="G444" s="1">
        <v>270</v>
      </c>
      <c r="H444" s="1">
        <v>1.09E-2</v>
      </c>
      <c r="I444" s="1">
        <v>25076.51</v>
      </c>
      <c r="J444" s="1" t="s">
        <v>1651</v>
      </c>
      <c r="K444" s="1">
        <v>41</v>
      </c>
    </row>
    <row r="445" spans="1:11" x14ac:dyDescent="0.3">
      <c r="A445" s="1" t="s">
        <v>1652</v>
      </c>
      <c r="B445" s="1" t="s">
        <v>1653</v>
      </c>
      <c r="C445" s="1" t="s">
        <v>1654</v>
      </c>
      <c r="D445" s="1">
        <v>260819</v>
      </c>
      <c r="E445" s="1">
        <v>438</v>
      </c>
      <c r="F445" s="1">
        <v>14</v>
      </c>
      <c r="G445" s="1">
        <v>19</v>
      </c>
      <c r="H445" s="1">
        <v>0.17330000000000001</v>
      </c>
      <c r="I445" s="1">
        <v>13727.32</v>
      </c>
      <c r="J445" s="1" t="s">
        <v>1655</v>
      </c>
      <c r="K445" s="1">
        <v>445</v>
      </c>
    </row>
    <row r="446" spans="1:11" x14ac:dyDescent="0.3">
      <c r="A446" s="1" t="s">
        <v>1656</v>
      </c>
      <c r="B446" s="1" t="s">
        <v>1657</v>
      </c>
      <c r="C446" s="1" t="s">
        <v>1658</v>
      </c>
      <c r="D446" s="1">
        <v>1099328</v>
      </c>
      <c r="E446" s="1">
        <v>9700</v>
      </c>
      <c r="F446" s="1">
        <v>209</v>
      </c>
      <c r="G446" s="1">
        <v>20</v>
      </c>
      <c r="H446" s="1">
        <v>0.90139999999999998</v>
      </c>
      <c r="I446" s="1">
        <v>54966.400000000001</v>
      </c>
      <c r="J446" s="1" t="s">
        <v>1659</v>
      </c>
      <c r="K446" s="1">
        <v>0</v>
      </c>
    </row>
    <row r="447" spans="1:11" x14ac:dyDescent="0.3">
      <c r="A447" s="1" t="s">
        <v>1660</v>
      </c>
      <c r="B447" s="1" t="s">
        <v>1661</v>
      </c>
      <c r="C447" s="1" t="s">
        <v>1662</v>
      </c>
      <c r="D447" s="1">
        <v>358078</v>
      </c>
      <c r="E447" s="1">
        <v>1200</v>
      </c>
      <c r="F447" s="1">
        <v>52</v>
      </c>
      <c r="G447" s="1">
        <v>20</v>
      </c>
      <c r="H447" s="1">
        <v>0.34960000000000002</v>
      </c>
      <c r="I447" s="1">
        <v>17903.900000000001</v>
      </c>
      <c r="J447" s="1" t="s">
        <v>1663</v>
      </c>
      <c r="K447" s="1">
        <v>1152</v>
      </c>
    </row>
    <row r="448" spans="1:11" x14ac:dyDescent="0.3">
      <c r="A448" s="1" t="s">
        <v>1664</v>
      </c>
      <c r="B448" s="1" t="s">
        <v>1665</v>
      </c>
      <c r="C448" s="1" t="s">
        <v>360</v>
      </c>
      <c r="D448" s="1">
        <v>2099624</v>
      </c>
      <c r="E448" s="1">
        <v>0</v>
      </c>
      <c r="F448" s="1">
        <v>6</v>
      </c>
      <c r="G448" s="1">
        <v>5</v>
      </c>
      <c r="H448" s="1">
        <v>2.9999999999999997E-4</v>
      </c>
      <c r="I448" s="1">
        <v>419924.8</v>
      </c>
      <c r="J448" s="1" t="s">
        <v>1666</v>
      </c>
      <c r="K448" s="1">
        <v>55</v>
      </c>
    </row>
    <row r="449" spans="1:11" x14ac:dyDescent="0.3">
      <c r="A449" s="1" t="s">
        <v>1667</v>
      </c>
      <c r="B449" s="1" t="s">
        <v>1668</v>
      </c>
      <c r="C449" s="1" t="s">
        <v>461</v>
      </c>
      <c r="D449" s="1">
        <v>92123</v>
      </c>
      <c r="E449" s="1">
        <v>4100</v>
      </c>
      <c r="F449" s="1">
        <v>179</v>
      </c>
      <c r="G449" s="1">
        <v>119</v>
      </c>
      <c r="H449" s="1">
        <v>4.6448999999999998</v>
      </c>
      <c r="I449" s="1">
        <v>774.14</v>
      </c>
      <c r="J449" s="1" t="s">
        <v>1669</v>
      </c>
      <c r="K449" s="1">
        <v>1344</v>
      </c>
    </row>
    <row r="450" spans="1:11" x14ac:dyDescent="0.3">
      <c r="A450" s="1" t="s">
        <v>1670</v>
      </c>
      <c r="B450" s="1" t="s">
        <v>1671</v>
      </c>
      <c r="C450" s="1" t="s">
        <v>1387</v>
      </c>
      <c r="D450" s="1">
        <v>726040</v>
      </c>
      <c r="E450" s="1">
        <v>20000</v>
      </c>
      <c r="F450" s="1">
        <v>256</v>
      </c>
      <c r="G450" s="1">
        <v>26</v>
      </c>
      <c r="H450" s="1">
        <v>2.7898999999999998</v>
      </c>
      <c r="I450" s="1">
        <v>27924.62</v>
      </c>
      <c r="J450" s="1" t="s">
        <v>1672</v>
      </c>
      <c r="K450" s="1">
        <v>0</v>
      </c>
    </row>
    <row r="451" spans="1:11" x14ac:dyDescent="0.3">
      <c r="A451" s="1" t="s">
        <v>1673</v>
      </c>
      <c r="B451" s="1" t="s">
        <v>1674</v>
      </c>
      <c r="C451" s="1" t="s">
        <v>1387</v>
      </c>
      <c r="D451" s="1">
        <v>860516</v>
      </c>
      <c r="E451" s="1">
        <v>27000</v>
      </c>
      <c r="F451" s="1">
        <v>342</v>
      </c>
      <c r="G451" s="1">
        <v>17</v>
      </c>
      <c r="H451" s="1">
        <v>3.1774</v>
      </c>
      <c r="I451" s="1">
        <v>50618.59</v>
      </c>
      <c r="J451" s="1" t="s">
        <v>1675</v>
      </c>
      <c r="K451" s="1">
        <v>0</v>
      </c>
    </row>
    <row r="452" spans="1:11" x14ac:dyDescent="0.3">
      <c r="A452" s="1" t="s">
        <v>1676</v>
      </c>
      <c r="B452" s="1" t="s">
        <v>1677</v>
      </c>
      <c r="C452" s="1" t="s">
        <v>1678</v>
      </c>
      <c r="D452" s="1">
        <v>3095863</v>
      </c>
      <c r="E452" s="1">
        <v>9100</v>
      </c>
      <c r="F452" s="1">
        <v>9</v>
      </c>
      <c r="G452" s="1">
        <v>5</v>
      </c>
      <c r="H452" s="1">
        <v>0.29420000000000002</v>
      </c>
      <c r="I452" s="1">
        <v>619172.6</v>
      </c>
      <c r="J452" s="1" t="s">
        <v>1679</v>
      </c>
      <c r="K452" s="1">
        <v>0</v>
      </c>
    </row>
    <row r="453" spans="1:11" x14ac:dyDescent="0.3">
      <c r="A453" s="1" t="s">
        <v>1680</v>
      </c>
      <c r="B453" s="1" t="s">
        <v>1681</v>
      </c>
      <c r="C453" s="1" t="s">
        <v>1096</v>
      </c>
      <c r="D453" s="1">
        <v>53418969</v>
      </c>
      <c r="E453" s="1">
        <v>613000</v>
      </c>
      <c r="F453" s="1">
        <v>23435</v>
      </c>
      <c r="G453" s="1">
        <v>1086</v>
      </c>
      <c r="H453" s="1">
        <v>1.1914</v>
      </c>
      <c r="I453" s="1">
        <v>49188.74</v>
      </c>
      <c r="J453" s="1" t="s">
        <v>1682</v>
      </c>
      <c r="K453" s="1">
        <v>0</v>
      </c>
    </row>
    <row r="454" spans="1:11" x14ac:dyDescent="0.3">
      <c r="A454" s="1" t="s">
        <v>1683</v>
      </c>
      <c r="B454" s="1" t="s">
        <v>1684</v>
      </c>
      <c r="C454" s="1" t="s">
        <v>126</v>
      </c>
      <c r="D454" s="1">
        <v>2910830</v>
      </c>
      <c r="E454" s="1">
        <v>25000</v>
      </c>
      <c r="F454" s="1">
        <v>459</v>
      </c>
      <c r="G454" s="1">
        <v>24</v>
      </c>
      <c r="H454" s="1">
        <v>0.87460000000000004</v>
      </c>
      <c r="I454" s="1">
        <v>121284.58</v>
      </c>
      <c r="J454" s="1" t="s">
        <v>1685</v>
      </c>
      <c r="K454" s="1">
        <v>0</v>
      </c>
    </row>
    <row r="455" spans="1:11" x14ac:dyDescent="0.3">
      <c r="A455" s="1" t="s">
        <v>1686</v>
      </c>
      <c r="B455" s="1" t="s">
        <v>1687</v>
      </c>
      <c r="C455" s="1" t="s">
        <v>1688</v>
      </c>
      <c r="D455" s="1">
        <v>374034</v>
      </c>
      <c r="E455" s="1">
        <v>15000</v>
      </c>
      <c r="F455" s="1">
        <v>21</v>
      </c>
      <c r="G455" s="1">
        <v>5</v>
      </c>
      <c r="H455" s="1">
        <v>4.0159000000000002</v>
      </c>
      <c r="I455" s="1">
        <v>74806.8</v>
      </c>
      <c r="J455" s="1" t="s">
        <v>1689</v>
      </c>
      <c r="K455" s="1">
        <v>902</v>
      </c>
    </row>
    <row r="456" spans="1:11" x14ac:dyDescent="0.3">
      <c r="A456" s="1" t="s">
        <v>1690</v>
      </c>
      <c r="B456" s="1" t="s">
        <v>1691</v>
      </c>
      <c r="C456" s="1" t="s">
        <v>1692</v>
      </c>
      <c r="D456" s="1">
        <v>39814649</v>
      </c>
      <c r="E456" s="1">
        <v>354000</v>
      </c>
      <c r="F456" s="1">
        <v>933</v>
      </c>
      <c r="G456" s="1">
        <v>319</v>
      </c>
      <c r="H456" s="1">
        <v>0.89149999999999996</v>
      </c>
      <c r="I456" s="1">
        <v>124810.81</v>
      </c>
      <c r="J456" s="1" t="s">
        <v>1693</v>
      </c>
      <c r="K456" s="1">
        <v>193</v>
      </c>
    </row>
    <row r="457" spans="1:11" x14ac:dyDescent="0.3">
      <c r="A457" s="1" t="s">
        <v>1694</v>
      </c>
      <c r="B457" s="1" t="s">
        <v>1695</v>
      </c>
      <c r="C457" s="1" t="s">
        <v>1696</v>
      </c>
      <c r="D457" s="1">
        <v>12922684</v>
      </c>
      <c r="E457" s="1">
        <v>164000</v>
      </c>
      <c r="F457" s="1">
        <v>1495</v>
      </c>
      <c r="G457" s="1">
        <v>145</v>
      </c>
      <c r="H457" s="1">
        <v>1.2806999999999999</v>
      </c>
      <c r="I457" s="1">
        <v>89121.96</v>
      </c>
      <c r="J457" s="1" t="s">
        <v>1697</v>
      </c>
      <c r="K457" s="1">
        <v>304</v>
      </c>
    </row>
    <row r="458" spans="1:11" x14ac:dyDescent="0.3">
      <c r="A458" s="1" t="s">
        <v>1698</v>
      </c>
      <c r="B458" s="1" t="s">
        <v>1699</v>
      </c>
      <c r="C458" s="1" t="s">
        <v>1700</v>
      </c>
      <c r="D458" s="1">
        <v>138150</v>
      </c>
      <c r="E458" s="1">
        <v>5100</v>
      </c>
      <c r="F458" s="1">
        <v>56</v>
      </c>
      <c r="G458" s="1">
        <v>21</v>
      </c>
      <c r="H458" s="1">
        <v>3.7322000000000002</v>
      </c>
      <c r="I458" s="1">
        <v>6578.57</v>
      </c>
      <c r="J458" s="1" t="s">
        <v>1701</v>
      </c>
      <c r="K458" s="1">
        <v>993</v>
      </c>
    </row>
    <row r="459" spans="1:11" x14ac:dyDescent="0.3">
      <c r="A459" s="1" t="s">
        <v>1702</v>
      </c>
      <c r="B459" s="1" t="s">
        <v>1703</v>
      </c>
      <c r="C459" s="1" t="s">
        <v>1704</v>
      </c>
      <c r="D459" s="1">
        <v>37538995</v>
      </c>
      <c r="E459" s="1">
        <v>207000</v>
      </c>
      <c r="F459" s="1">
        <v>301</v>
      </c>
      <c r="G459" s="1">
        <v>206</v>
      </c>
      <c r="H459" s="1">
        <v>0.55220000000000002</v>
      </c>
      <c r="I459" s="1">
        <v>182228.13</v>
      </c>
      <c r="J459" s="1" t="s">
        <v>1705</v>
      </c>
      <c r="K459" s="1">
        <v>56</v>
      </c>
    </row>
    <row r="460" spans="1:11" x14ac:dyDescent="0.3">
      <c r="A460" s="1" t="s">
        <v>1706</v>
      </c>
      <c r="B460" s="1" t="s">
        <v>1707</v>
      </c>
      <c r="C460" s="1" t="s">
        <v>1708</v>
      </c>
      <c r="D460" s="1">
        <v>16230965</v>
      </c>
      <c r="E460" s="1">
        <v>89000</v>
      </c>
      <c r="F460" s="1">
        <v>72</v>
      </c>
      <c r="G460" s="1">
        <v>416</v>
      </c>
      <c r="H460" s="1">
        <v>0.54879999999999995</v>
      </c>
      <c r="I460" s="1">
        <v>39016.74</v>
      </c>
      <c r="J460" s="1" t="s">
        <v>1709</v>
      </c>
      <c r="K460" s="1">
        <v>82</v>
      </c>
    </row>
    <row r="461" spans="1:11" x14ac:dyDescent="0.3">
      <c r="A461" s="1" t="s">
        <v>1710</v>
      </c>
      <c r="B461" s="1" t="s">
        <v>1711</v>
      </c>
      <c r="C461" s="1" t="s">
        <v>1712</v>
      </c>
      <c r="D461" s="1">
        <v>24963377</v>
      </c>
      <c r="E461" s="1">
        <v>298000</v>
      </c>
      <c r="F461" s="1">
        <v>326</v>
      </c>
      <c r="G461" s="1">
        <v>333</v>
      </c>
      <c r="H461" s="1">
        <v>1.1951000000000001</v>
      </c>
      <c r="I461" s="1">
        <v>74965.100000000006</v>
      </c>
      <c r="J461" s="1" t="s">
        <v>1713</v>
      </c>
      <c r="K461" s="1">
        <v>840</v>
      </c>
    </row>
    <row r="462" spans="1:11" x14ac:dyDescent="0.3">
      <c r="A462" s="1" t="s">
        <v>1714</v>
      </c>
      <c r="B462" s="1" t="s">
        <v>1715</v>
      </c>
      <c r="C462" s="1" t="s">
        <v>1716</v>
      </c>
      <c r="D462" s="1">
        <v>348538</v>
      </c>
      <c r="E462" s="1">
        <v>1600</v>
      </c>
      <c r="F462" s="1">
        <v>11</v>
      </c>
      <c r="G462" s="1">
        <v>6</v>
      </c>
      <c r="H462" s="1">
        <v>0.4622</v>
      </c>
      <c r="I462" s="1">
        <v>58089.67</v>
      </c>
      <c r="J462" s="1" t="s">
        <v>1717</v>
      </c>
      <c r="K462" s="1">
        <v>147</v>
      </c>
    </row>
    <row r="463" spans="1:11" x14ac:dyDescent="0.3">
      <c r="A463" s="1" t="s">
        <v>1718</v>
      </c>
      <c r="B463" s="1" t="s">
        <v>1719</v>
      </c>
      <c r="C463" s="1" t="s">
        <v>622</v>
      </c>
      <c r="D463" s="1">
        <v>195569932</v>
      </c>
      <c r="E463" s="1">
        <v>485000</v>
      </c>
      <c r="F463" s="1">
        <v>0</v>
      </c>
      <c r="G463" s="1">
        <v>858</v>
      </c>
      <c r="H463" s="1">
        <v>0.248</v>
      </c>
      <c r="I463" s="1">
        <v>227936.98</v>
      </c>
      <c r="J463" s="1" t="s">
        <v>1720</v>
      </c>
      <c r="K463" s="1">
        <v>134</v>
      </c>
    </row>
    <row r="464" spans="1:11" x14ac:dyDescent="0.3">
      <c r="A464" s="1" t="s">
        <v>1721</v>
      </c>
      <c r="B464" s="1" t="s">
        <v>1722</v>
      </c>
      <c r="C464" s="1" t="s">
        <v>1723</v>
      </c>
      <c r="D464" s="1">
        <v>2808481</v>
      </c>
      <c r="E464" s="1">
        <v>47000</v>
      </c>
      <c r="F464" s="1">
        <v>3583</v>
      </c>
      <c r="G464" s="1">
        <v>188</v>
      </c>
      <c r="H464" s="1">
        <v>1.8010999999999999</v>
      </c>
      <c r="I464" s="1">
        <v>14938.73</v>
      </c>
      <c r="J464" s="1" t="s">
        <v>1724</v>
      </c>
      <c r="K464" s="1">
        <v>596</v>
      </c>
    </row>
    <row r="465" spans="1:11" x14ac:dyDescent="0.3">
      <c r="A465" s="1" t="s">
        <v>1725</v>
      </c>
      <c r="B465" s="1" t="s">
        <v>1726</v>
      </c>
      <c r="C465" s="1" t="s">
        <v>525</v>
      </c>
      <c r="D465" s="1">
        <v>60117</v>
      </c>
      <c r="E465" s="1">
        <v>984</v>
      </c>
      <c r="F465" s="1">
        <v>50</v>
      </c>
      <c r="G465" s="1">
        <v>78</v>
      </c>
      <c r="H465" s="1">
        <v>1.72</v>
      </c>
      <c r="I465" s="1">
        <v>770.73</v>
      </c>
      <c r="J465" s="1" t="s">
        <v>1727</v>
      </c>
      <c r="K465" s="1">
        <v>701</v>
      </c>
    </row>
    <row r="466" spans="1:11" x14ac:dyDescent="0.3">
      <c r="A466" s="1" t="s">
        <v>1728</v>
      </c>
      <c r="B466" s="1" t="s">
        <v>1729</v>
      </c>
      <c r="C466" s="1" t="s">
        <v>1730</v>
      </c>
      <c r="D466" s="1">
        <v>60647953</v>
      </c>
      <c r="E466" s="1">
        <v>31000</v>
      </c>
      <c r="F466" s="1">
        <v>0</v>
      </c>
      <c r="G466" s="1">
        <v>471</v>
      </c>
      <c r="H466" s="1">
        <v>5.11E-2</v>
      </c>
      <c r="I466" s="1">
        <v>128764.23</v>
      </c>
      <c r="J466" s="1" t="s">
        <v>1731</v>
      </c>
      <c r="K466" s="1">
        <v>646</v>
      </c>
    </row>
    <row r="467" spans="1:11" x14ac:dyDescent="0.3">
      <c r="A467" s="1" t="s">
        <v>1732</v>
      </c>
      <c r="B467" s="1" t="s">
        <v>1733</v>
      </c>
      <c r="C467" s="1" t="s">
        <v>1734</v>
      </c>
      <c r="D467" s="1">
        <v>3491629</v>
      </c>
      <c r="E467" s="1">
        <v>6100</v>
      </c>
      <c r="F467" s="1">
        <v>201</v>
      </c>
      <c r="G467" s="1">
        <v>466</v>
      </c>
      <c r="H467" s="1">
        <v>0.18049999999999999</v>
      </c>
      <c r="I467" s="1">
        <v>7492.77</v>
      </c>
      <c r="J467" s="1" t="s">
        <v>1735</v>
      </c>
      <c r="K467" s="1">
        <v>4997</v>
      </c>
    </row>
    <row r="468" spans="1:11" x14ac:dyDescent="0.3">
      <c r="A468" s="1" t="s">
        <v>1736</v>
      </c>
      <c r="B468" s="1" t="s">
        <v>1737</v>
      </c>
      <c r="C468" s="1" t="s">
        <v>1379</v>
      </c>
      <c r="D468" s="1">
        <v>1554517</v>
      </c>
      <c r="E468" s="1">
        <v>68000</v>
      </c>
      <c r="F468" s="1">
        <v>213</v>
      </c>
      <c r="G468" s="1">
        <v>18</v>
      </c>
      <c r="H468" s="1">
        <v>4.3880999999999997</v>
      </c>
      <c r="I468" s="1">
        <v>86362.06</v>
      </c>
      <c r="J468" s="1" t="s">
        <v>1738</v>
      </c>
      <c r="K468" s="1">
        <v>55</v>
      </c>
    </row>
    <row r="469" spans="1:11" x14ac:dyDescent="0.3">
      <c r="A469" s="1" t="s">
        <v>1739</v>
      </c>
      <c r="B469" s="1" t="s">
        <v>1740</v>
      </c>
      <c r="C469" s="1" t="s">
        <v>1741</v>
      </c>
      <c r="D469" s="1">
        <v>26532884</v>
      </c>
      <c r="E469" s="1">
        <v>167000</v>
      </c>
      <c r="F469" s="1">
        <v>1538</v>
      </c>
      <c r="G469" s="1">
        <v>758</v>
      </c>
      <c r="H469" s="1">
        <v>0.63519999999999999</v>
      </c>
      <c r="I469" s="1">
        <v>35003.800000000003</v>
      </c>
      <c r="J469" s="1" t="s">
        <v>1742</v>
      </c>
      <c r="K469" s="1">
        <v>94</v>
      </c>
    </row>
    <row r="470" spans="1:11" x14ac:dyDescent="0.3">
      <c r="A470" s="1" t="s">
        <v>1743</v>
      </c>
      <c r="B470" s="1" t="s">
        <v>1744</v>
      </c>
      <c r="C470" s="1" t="s">
        <v>1291</v>
      </c>
      <c r="D470" s="1">
        <v>7029886</v>
      </c>
      <c r="E470" s="1">
        <v>250000</v>
      </c>
      <c r="F470" s="1">
        <v>942</v>
      </c>
      <c r="G470" s="1">
        <v>11</v>
      </c>
      <c r="H470" s="1">
        <v>3.5695999999999999</v>
      </c>
      <c r="I470" s="1">
        <v>639080.55000000005</v>
      </c>
      <c r="J470" s="1" t="s">
        <v>1745</v>
      </c>
      <c r="K470" s="1">
        <v>0</v>
      </c>
    </row>
    <row r="471" spans="1:11" x14ac:dyDescent="0.3">
      <c r="A471" s="1" t="s">
        <v>1746</v>
      </c>
      <c r="B471" s="1" t="s">
        <v>1747</v>
      </c>
      <c r="C471" s="1" t="s">
        <v>1748</v>
      </c>
      <c r="D471" s="1">
        <v>86789736</v>
      </c>
      <c r="E471" s="1">
        <v>0</v>
      </c>
      <c r="F471" s="1">
        <v>730</v>
      </c>
      <c r="G471" s="1">
        <v>557</v>
      </c>
      <c r="H471" s="1">
        <v>8.0000000000000004E-4</v>
      </c>
      <c r="I471" s="1">
        <v>155816.4</v>
      </c>
      <c r="J471" s="1" t="s">
        <v>1749</v>
      </c>
      <c r="K471" s="1">
        <v>0</v>
      </c>
    </row>
    <row r="472" spans="1:11" x14ac:dyDescent="0.3">
      <c r="A472" s="1" t="s">
        <v>1750</v>
      </c>
      <c r="B472" s="1" t="s">
        <v>1751</v>
      </c>
      <c r="C472" s="1" t="s">
        <v>1752</v>
      </c>
      <c r="D472" s="1">
        <v>115418817</v>
      </c>
      <c r="E472" s="1">
        <v>2100000</v>
      </c>
      <c r="F472" s="1">
        <v>4098</v>
      </c>
      <c r="G472" s="1">
        <v>1601</v>
      </c>
      <c r="H472" s="1">
        <v>1.823</v>
      </c>
      <c r="I472" s="1">
        <v>72091.7</v>
      </c>
      <c r="J472" s="1" t="s">
        <v>1753</v>
      </c>
      <c r="K472" s="1">
        <v>221</v>
      </c>
    </row>
    <row r="473" spans="1:11" x14ac:dyDescent="0.3">
      <c r="A473" s="1" t="e">
        <f>-WO5ALWnOBo</f>
        <v>#NAME?</v>
      </c>
      <c r="B473" s="1" t="s">
        <v>1754</v>
      </c>
      <c r="C473" s="1" t="s">
        <v>1755</v>
      </c>
      <c r="D473" s="1">
        <v>396391</v>
      </c>
      <c r="E473" s="1">
        <v>21000</v>
      </c>
      <c r="F473" s="1">
        <v>428</v>
      </c>
      <c r="G473" s="1">
        <v>1</v>
      </c>
      <c r="H473" s="1">
        <v>5.4058000000000002</v>
      </c>
      <c r="I473" s="1">
        <v>396391</v>
      </c>
      <c r="J473" s="1" t="s">
        <v>1756</v>
      </c>
      <c r="K473" s="1">
        <v>80</v>
      </c>
    </row>
    <row r="474" spans="1:11" x14ac:dyDescent="0.3">
      <c r="A474" s="1" t="s">
        <v>1757</v>
      </c>
      <c r="B474" s="1" t="s">
        <v>1758</v>
      </c>
      <c r="C474" s="1" t="s">
        <v>1759</v>
      </c>
      <c r="D474" s="1">
        <v>264401</v>
      </c>
      <c r="E474" s="1">
        <v>7700</v>
      </c>
      <c r="F474" s="1">
        <v>8</v>
      </c>
      <c r="G474" s="1">
        <v>1</v>
      </c>
      <c r="H474" s="1">
        <v>2.9152999999999998</v>
      </c>
      <c r="I474" s="1">
        <v>264401</v>
      </c>
      <c r="J474" s="1" t="s">
        <v>1760</v>
      </c>
      <c r="K474" s="1">
        <v>0</v>
      </c>
    </row>
    <row r="475" spans="1:11" x14ac:dyDescent="0.3">
      <c r="A475" s="1" t="s">
        <v>1761</v>
      </c>
      <c r="B475" s="1" t="s">
        <v>1762</v>
      </c>
      <c r="C475" s="1" t="s">
        <v>1387</v>
      </c>
      <c r="D475" s="1">
        <v>613565</v>
      </c>
      <c r="E475" s="1">
        <v>17000</v>
      </c>
      <c r="F475" s="1">
        <v>343</v>
      </c>
      <c r="G475" s="1">
        <v>10</v>
      </c>
      <c r="H475" s="1">
        <v>2.8266</v>
      </c>
      <c r="I475" s="1">
        <v>61356.5</v>
      </c>
      <c r="J475" s="1" t="s">
        <v>1763</v>
      </c>
      <c r="K475" s="1">
        <v>0</v>
      </c>
    </row>
    <row r="476" spans="1:11" x14ac:dyDescent="0.3">
      <c r="A476" s="1" t="s">
        <v>1764</v>
      </c>
      <c r="B476" s="1" t="s">
        <v>1765</v>
      </c>
      <c r="C476" s="1" t="s">
        <v>1766</v>
      </c>
      <c r="D476" s="1">
        <v>315319</v>
      </c>
      <c r="E476" s="1">
        <v>1400</v>
      </c>
      <c r="F476" s="1">
        <v>23</v>
      </c>
      <c r="G476" s="1">
        <v>15</v>
      </c>
      <c r="H476" s="1">
        <v>0.45129999999999998</v>
      </c>
      <c r="I476" s="1">
        <v>21021.27</v>
      </c>
      <c r="J476" s="1" t="s">
        <v>1767</v>
      </c>
      <c r="K476" s="1">
        <v>0</v>
      </c>
    </row>
    <row r="477" spans="1:11" x14ac:dyDescent="0.3">
      <c r="A477" s="1" t="s">
        <v>1768</v>
      </c>
      <c r="B477" s="1" t="s">
        <v>1769</v>
      </c>
      <c r="C477" s="1" t="s">
        <v>1770</v>
      </c>
      <c r="D477" s="1">
        <v>21134925</v>
      </c>
      <c r="E477" s="1">
        <v>96000</v>
      </c>
      <c r="F477" s="1">
        <v>113</v>
      </c>
      <c r="G477" s="1">
        <v>6</v>
      </c>
      <c r="H477" s="1">
        <v>0.45479999999999998</v>
      </c>
      <c r="I477" s="1">
        <v>3522487.5</v>
      </c>
      <c r="J477" s="1" t="s">
        <v>1771</v>
      </c>
      <c r="K477" s="1">
        <v>130</v>
      </c>
    </row>
    <row r="478" spans="1:11" x14ac:dyDescent="0.3">
      <c r="A478" s="1" t="s">
        <v>1772</v>
      </c>
      <c r="B478" s="1" t="s">
        <v>1773</v>
      </c>
      <c r="C478" s="1" t="s">
        <v>1774</v>
      </c>
      <c r="D478" s="1">
        <v>46461589</v>
      </c>
      <c r="E478" s="1">
        <v>789000</v>
      </c>
      <c r="F478" s="1">
        <v>1015</v>
      </c>
      <c r="G478" s="1">
        <v>997</v>
      </c>
      <c r="H478" s="1">
        <v>1.7003999999999999</v>
      </c>
      <c r="I478" s="1">
        <v>46601.39</v>
      </c>
      <c r="J478" s="1" t="s">
        <v>1775</v>
      </c>
      <c r="K478" s="1">
        <v>133</v>
      </c>
    </row>
    <row r="479" spans="1:11" x14ac:dyDescent="0.3">
      <c r="A479" s="1" t="s">
        <v>1776</v>
      </c>
      <c r="B479" s="1" t="s">
        <v>1777</v>
      </c>
      <c r="C479" s="1" t="s">
        <v>1778</v>
      </c>
      <c r="D479" s="1">
        <v>1312839</v>
      </c>
      <c r="E479" s="1">
        <v>37000</v>
      </c>
      <c r="F479" s="1">
        <v>46</v>
      </c>
      <c r="G479" s="1">
        <v>5</v>
      </c>
      <c r="H479" s="1">
        <v>2.8218000000000001</v>
      </c>
      <c r="I479" s="1">
        <v>262567.8</v>
      </c>
      <c r="J479" s="1" t="s">
        <v>1779</v>
      </c>
      <c r="K479" s="1">
        <v>0</v>
      </c>
    </row>
    <row r="480" spans="1:11" x14ac:dyDescent="0.3">
      <c r="A480" s="1" t="s">
        <v>1780</v>
      </c>
      <c r="B480" s="1" t="s">
        <v>1781</v>
      </c>
      <c r="C480" s="1" t="s">
        <v>1782</v>
      </c>
      <c r="D480" s="1">
        <v>955560</v>
      </c>
      <c r="E480" s="1">
        <v>4200</v>
      </c>
      <c r="F480" s="1">
        <v>3</v>
      </c>
      <c r="G480" s="1">
        <v>3</v>
      </c>
      <c r="H480" s="1">
        <v>0.43980000000000002</v>
      </c>
      <c r="I480" s="1">
        <v>318520</v>
      </c>
      <c r="J480" s="1" t="s">
        <v>1783</v>
      </c>
      <c r="K480" s="1">
        <v>555</v>
      </c>
    </row>
    <row r="481" spans="1:11" x14ac:dyDescent="0.3">
      <c r="A481" s="1" t="s">
        <v>1784</v>
      </c>
      <c r="B481" s="1" t="s">
        <v>1785</v>
      </c>
      <c r="C481" s="1" t="s">
        <v>126</v>
      </c>
      <c r="D481" s="1">
        <v>875632</v>
      </c>
      <c r="E481" s="1">
        <v>9100</v>
      </c>
      <c r="F481" s="1">
        <v>382</v>
      </c>
      <c r="G481" s="1">
        <v>31</v>
      </c>
      <c r="H481" s="1">
        <v>1.0829</v>
      </c>
      <c r="I481" s="1">
        <v>28246.19</v>
      </c>
      <c r="J481" s="1" t="s">
        <v>1786</v>
      </c>
      <c r="K481" s="1">
        <v>0</v>
      </c>
    </row>
    <row r="482" spans="1:11" x14ac:dyDescent="0.3">
      <c r="A482" s="1" t="s">
        <v>1787</v>
      </c>
      <c r="B482" s="1" t="s">
        <v>1788</v>
      </c>
      <c r="C482" s="1" t="s">
        <v>1789</v>
      </c>
      <c r="D482" s="1">
        <v>13173059</v>
      </c>
      <c r="E482" s="1">
        <v>496000</v>
      </c>
      <c r="F482" s="1">
        <v>5577</v>
      </c>
      <c r="G482" s="1">
        <v>11</v>
      </c>
      <c r="H482" s="1">
        <v>3.8075999999999999</v>
      </c>
      <c r="I482" s="1">
        <v>1197550.82</v>
      </c>
      <c r="J482" s="1" t="s">
        <v>1790</v>
      </c>
      <c r="K482" s="1">
        <v>354</v>
      </c>
    </row>
    <row r="483" spans="1:11" x14ac:dyDescent="0.3">
      <c r="A483" s="1" t="s">
        <v>1791</v>
      </c>
      <c r="B483" s="1" t="s">
        <v>1792</v>
      </c>
      <c r="C483" s="1" t="s">
        <v>1419</v>
      </c>
      <c r="D483" s="1">
        <v>1590401</v>
      </c>
      <c r="E483" s="1">
        <v>23000</v>
      </c>
      <c r="F483" s="1">
        <v>0</v>
      </c>
      <c r="G483" s="1">
        <v>35</v>
      </c>
      <c r="H483" s="1">
        <v>1.4461999999999999</v>
      </c>
      <c r="I483" s="1">
        <v>45440.03</v>
      </c>
      <c r="J483" s="1" t="s">
        <v>1793</v>
      </c>
      <c r="K483" s="1">
        <v>882</v>
      </c>
    </row>
    <row r="484" spans="1:11" x14ac:dyDescent="0.3">
      <c r="A484" s="1" t="s">
        <v>1794</v>
      </c>
      <c r="B484" s="1" t="s">
        <v>1795</v>
      </c>
      <c r="C484" s="1" t="s">
        <v>1096</v>
      </c>
      <c r="D484" s="1">
        <v>33458785</v>
      </c>
      <c r="E484" s="1">
        <v>368000</v>
      </c>
      <c r="F484" s="1">
        <v>4183</v>
      </c>
      <c r="G484" s="1">
        <v>898</v>
      </c>
      <c r="H484" s="1">
        <v>1.1124000000000001</v>
      </c>
      <c r="I484" s="1">
        <v>37259.230000000003</v>
      </c>
      <c r="J484" s="1" t="s">
        <v>1796</v>
      </c>
      <c r="K484" s="1">
        <v>0</v>
      </c>
    </row>
    <row r="485" spans="1:11" x14ac:dyDescent="0.3">
      <c r="A485" s="1" t="s">
        <v>1797</v>
      </c>
      <c r="B485" s="1" t="s">
        <v>1798</v>
      </c>
      <c r="C485" s="1" t="s">
        <v>309</v>
      </c>
      <c r="D485" s="1">
        <v>4695163</v>
      </c>
      <c r="E485" s="1">
        <v>130000</v>
      </c>
      <c r="F485" s="1">
        <v>2288</v>
      </c>
      <c r="G485" s="1">
        <v>13</v>
      </c>
      <c r="H485" s="1">
        <v>2.8174999999999999</v>
      </c>
      <c r="I485" s="1">
        <v>361166.38</v>
      </c>
      <c r="J485" s="1" t="s">
        <v>1799</v>
      </c>
      <c r="K485" s="1">
        <v>0</v>
      </c>
    </row>
    <row r="486" spans="1:11" x14ac:dyDescent="0.3">
      <c r="A486" s="1" t="s">
        <v>1800</v>
      </c>
      <c r="B486" s="1" t="s">
        <v>1801</v>
      </c>
      <c r="C486" s="1" t="s">
        <v>1802</v>
      </c>
      <c r="D486" s="1">
        <v>563924</v>
      </c>
      <c r="E486" s="1">
        <v>21000</v>
      </c>
      <c r="F486" s="1">
        <v>116</v>
      </c>
      <c r="G486" s="1">
        <v>3</v>
      </c>
      <c r="H486" s="1">
        <v>3.7444999999999999</v>
      </c>
      <c r="I486" s="1">
        <v>187974.67</v>
      </c>
      <c r="J486" s="1" t="s">
        <v>1803</v>
      </c>
      <c r="K486" s="1">
        <v>503</v>
      </c>
    </row>
    <row r="487" spans="1:11" x14ac:dyDescent="0.3">
      <c r="A487" s="1" t="s">
        <v>1804</v>
      </c>
      <c r="B487" s="1" t="s">
        <v>1805</v>
      </c>
      <c r="C487" s="1" t="s">
        <v>1806</v>
      </c>
      <c r="D487" s="1">
        <v>25153497</v>
      </c>
      <c r="E487" s="1">
        <v>196000</v>
      </c>
      <c r="F487" s="1">
        <v>148</v>
      </c>
      <c r="G487" s="1">
        <v>187</v>
      </c>
      <c r="H487" s="1">
        <v>0.77980000000000005</v>
      </c>
      <c r="I487" s="1">
        <v>134510.68</v>
      </c>
      <c r="J487" s="1" t="s">
        <v>1807</v>
      </c>
      <c r="K487" s="1">
        <v>139</v>
      </c>
    </row>
    <row r="488" spans="1:11" x14ac:dyDescent="0.3">
      <c r="A488" s="1" t="s">
        <v>1808</v>
      </c>
      <c r="B488" s="1" t="s">
        <v>1809</v>
      </c>
      <c r="C488" s="1" t="s">
        <v>1810</v>
      </c>
      <c r="D488" s="1">
        <v>427000</v>
      </c>
      <c r="E488" s="1">
        <v>8000</v>
      </c>
      <c r="F488" s="1">
        <v>94</v>
      </c>
      <c r="G488" s="1">
        <v>18</v>
      </c>
      <c r="H488" s="1">
        <v>1.8956</v>
      </c>
      <c r="I488" s="1">
        <v>23722.22</v>
      </c>
      <c r="J488" s="1" t="s">
        <v>1811</v>
      </c>
      <c r="K488" s="1">
        <v>0</v>
      </c>
    </row>
    <row r="489" spans="1:11" x14ac:dyDescent="0.3">
      <c r="A489" s="1" t="s">
        <v>1812</v>
      </c>
      <c r="B489" s="1" t="s">
        <v>1813</v>
      </c>
      <c r="C489" s="1" t="s">
        <v>1814</v>
      </c>
      <c r="D489" s="1">
        <v>82566866</v>
      </c>
      <c r="E489" s="1">
        <v>1000000</v>
      </c>
      <c r="F489" s="1">
        <v>938</v>
      </c>
      <c r="G489" s="1">
        <v>155</v>
      </c>
      <c r="H489" s="1">
        <v>1.2122999999999999</v>
      </c>
      <c r="I489" s="1">
        <v>532689.46</v>
      </c>
      <c r="J489" s="1" t="s">
        <v>1815</v>
      </c>
      <c r="K489" s="1">
        <v>38</v>
      </c>
    </row>
    <row r="490" spans="1:11" x14ac:dyDescent="0.3">
      <c r="A490" s="1" t="s">
        <v>1816</v>
      </c>
      <c r="B490" s="1" t="s">
        <v>1817</v>
      </c>
      <c r="C490" s="1" t="s">
        <v>1818</v>
      </c>
      <c r="D490" s="1">
        <v>25617875</v>
      </c>
      <c r="E490" s="1">
        <v>325000</v>
      </c>
      <c r="F490" s="1">
        <v>754</v>
      </c>
      <c r="G490" s="1">
        <v>206</v>
      </c>
      <c r="H490" s="1">
        <v>1.2716000000000001</v>
      </c>
      <c r="I490" s="1">
        <v>124358.62</v>
      </c>
      <c r="J490" s="1" t="s">
        <v>1819</v>
      </c>
      <c r="K490" s="1">
        <v>0</v>
      </c>
    </row>
    <row r="491" spans="1:11" x14ac:dyDescent="0.3">
      <c r="A491" s="1" t="s">
        <v>1820</v>
      </c>
      <c r="B491" s="1" t="s">
        <v>1821</v>
      </c>
      <c r="C491" s="1" t="s">
        <v>1822</v>
      </c>
      <c r="D491" s="1">
        <v>53746730</v>
      </c>
      <c r="E491" s="1">
        <v>3200000</v>
      </c>
      <c r="F491" s="1">
        <v>317800</v>
      </c>
      <c r="G491" s="1">
        <v>1334</v>
      </c>
      <c r="H491" s="1">
        <v>6.5450999999999997</v>
      </c>
      <c r="I491" s="1">
        <v>40289.9</v>
      </c>
      <c r="J491" s="1" t="s">
        <v>1823</v>
      </c>
      <c r="K491" s="1">
        <v>546</v>
      </c>
    </row>
    <row r="492" spans="1:11" x14ac:dyDescent="0.3">
      <c r="A492" s="1" t="s">
        <v>1824</v>
      </c>
      <c r="B492" s="1" t="s">
        <v>1825</v>
      </c>
      <c r="C492" s="1" t="s">
        <v>1826</v>
      </c>
      <c r="D492" s="1">
        <v>59798</v>
      </c>
      <c r="E492" s="1">
        <v>91</v>
      </c>
      <c r="F492" s="1">
        <v>3</v>
      </c>
      <c r="G492" s="1">
        <v>2</v>
      </c>
      <c r="H492" s="1">
        <v>0.15720000000000001</v>
      </c>
      <c r="I492" s="1">
        <v>29899</v>
      </c>
      <c r="J492" s="1" t="s">
        <v>1827</v>
      </c>
      <c r="K492" s="1">
        <v>0</v>
      </c>
    </row>
    <row r="493" spans="1:11" x14ac:dyDescent="0.3">
      <c r="A493" s="1" t="s">
        <v>1828</v>
      </c>
      <c r="B493" s="1" t="s">
        <v>1829</v>
      </c>
      <c r="C493" s="1" t="s">
        <v>1830</v>
      </c>
      <c r="D493" s="1">
        <v>39287987</v>
      </c>
      <c r="E493" s="1">
        <v>719000</v>
      </c>
      <c r="F493" s="1">
        <v>27877</v>
      </c>
      <c r="G493" s="1">
        <v>232</v>
      </c>
      <c r="H493" s="1">
        <v>1.901</v>
      </c>
      <c r="I493" s="1">
        <v>169344.77</v>
      </c>
      <c r="J493" s="1" t="s">
        <v>1831</v>
      </c>
      <c r="K493" s="1">
        <v>46</v>
      </c>
    </row>
    <row r="494" spans="1:11" x14ac:dyDescent="0.3">
      <c r="A494" s="1" t="s">
        <v>1832</v>
      </c>
      <c r="B494" s="1" t="s">
        <v>1833</v>
      </c>
      <c r="C494" s="1" t="s">
        <v>1834</v>
      </c>
      <c r="D494" s="1">
        <v>827185</v>
      </c>
      <c r="E494" s="1">
        <v>23000</v>
      </c>
      <c r="F494" s="1">
        <v>8062</v>
      </c>
      <c r="G494" s="1">
        <v>191</v>
      </c>
      <c r="H494" s="1">
        <v>3.7551000000000001</v>
      </c>
      <c r="I494" s="1">
        <v>4330.8100000000004</v>
      </c>
      <c r="J494" s="1" t="s">
        <v>1835</v>
      </c>
      <c r="K494" s="1">
        <v>900</v>
      </c>
    </row>
    <row r="495" spans="1:11" x14ac:dyDescent="0.3">
      <c r="A495" s="1" t="s">
        <v>1836</v>
      </c>
      <c r="B495" s="1" t="s">
        <v>1837</v>
      </c>
      <c r="C495" s="1" t="s">
        <v>1838</v>
      </c>
      <c r="D495" s="1">
        <v>1835758</v>
      </c>
      <c r="E495" s="1">
        <v>75000</v>
      </c>
      <c r="F495" s="1">
        <v>366</v>
      </c>
      <c r="G495" s="1">
        <v>6</v>
      </c>
      <c r="H495" s="1">
        <v>4.1054000000000004</v>
      </c>
      <c r="I495" s="1">
        <v>305959.67</v>
      </c>
      <c r="J495" s="1" t="s">
        <v>1839</v>
      </c>
      <c r="K495" s="1">
        <v>0</v>
      </c>
    </row>
    <row r="496" spans="1:11" x14ac:dyDescent="0.3">
      <c r="A496" s="1" t="s">
        <v>1840</v>
      </c>
      <c r="B496" s="1" t="s">
        <v>1841</v>
      </c>
      <c r="C496" s="1" t="s">
        <v>1842</v>
      </c>
      <c r="D496" s="1">
        <v>9288081</v>
      </c>
      <c r="E496" s="1">
        <v>106000</v>
      </c>
      <c r="F496" s="1">
        <v>5935</v>
      </c>
      <c r="G496" s="1">
        <v>323</v>
      </c>
      <c r="H496" s="1">
        <v>1.2051000000000001</v>
      </c>
      <c r="I496" s="1">
        <v>28755.67</v>
      </c>
      <c r="J496" s="1" t="s">
        <v>1843</v>
      </c>
      <c r="K496" s="1">
        <v>525</v>
      </c>
    </row>
    <row r="497" spans="1:11" x14ac:dyDescent="0.3">
      <c r="A497" s="1" t="s">
        <v>1844</v>
      </c>
      <c r="B497" s="1" t="s">
        <v>1845</v>
      </c>
      <c r="C497" s="1" t="s">
        <v>1846</v>
      </c>
      <c r="D497" s="1">
        <v>49314084</v>
      </c>
      <c r="E497" s="1">
        <v>283000</v>
      </c>
      <c r="F497" s="1">
        <v>476</v>
      </c>
      <c r="G497" s="1">
        <v>363</v>
      </c>
      <c r="H497" s="1">
        <v>0.57479999999999998</v>
      </c>
      <c r="I497" s="1">
        <v>135851.47</v>
      </c>
      <c r="J497" s="1" t="s">
        <v>1847</v>
      </c>
      <c r="K497" s="1">
        <v>0</v>
      </c>
    </row>
    <row r="498" spans="1:11" x14ac:dyDescent="0.3">
      <c r="A498" s="1" t="s">
        <v>1848</v>
      </c>
      <c r="B498" s="1" t="s">
        <v>1849</v>
      </c>
      <c r="C498" s="1" t="s">
        <v>1850</v>
      </c>
      <c r="D498" s="1">
        <v>217916</v>
      </c>
      <c r="E498" s="1">
        <v>730</v>
      </c>
      <c r="F498" s="1">
        <v>4</v>
      </c>
      <c r="G498" s="1">
        <v>6</v>
      </c>
      <c r="H498" s="1">
        <v>0.33679999999999999</v>
      </c>
      <c r="I498" s="1">
        <v>36319.33</v>
      </c>
      <c r="J498" s="1" t="s">
        <v>1851</v>
      </c>
      <c r="K498" s="1">
        <v>889</v>
      </c>
    </row>
    <row r="499" spans="1:11" x14ac:dyDescent="0.3">
      <c r="A499" s="1" t="s">
        <v>1852</v>
      </c>
      <c r="B499" s="1" t="s">
        <v>1853</v>
      </c>
      <c r="C499" s="1" t="s">
        <v>1854</v>
      </c>
      <c r="D499" s="1">
        <v>728301</v>
      </c>
      <c r="E499" s="1">
        <v>12000</v>
      </c>
      <c r="F499" s="1">
        <v>45</v>
      </c>
      <c r="G499" s="1">
        <v>4</v>
      </c>
      <c r="H499" s="1">
        <v>1.6537999999999999</v>
      </c>
      <c r="I499" s="1">
        <v>182075.25</v>
      </c>
      <c r="J499" s="1" t="s">
        <v>1855</v>
      </c>
      <c r="K499" s="1">
        <v>0</v>
      </c>
    </row>
    <row r="500" spans="1:11" x14ac:dyDescent="0.3">
      <c r="A500" s="1" t="s">
        <v>1856</v>
      </c>
      <c r="B500" s="1" t="s">
        <v>1857</v>
      </c>
      <c r="C500" s="1" t="s">
        <v>1858</v>
      </c>
      <c r="D500" s="1">
        <v>32986283</v>
      </c>
      <c r="E500" s="1">
        <v>454000</v>
      </c>
      <c r="F500" s="1">
        <v>612</v>
      </c>
      <c r="G500" s="1">
        <v>405</v>
      </c>
      <c r="H500" s="1">
        <v>1.3782000000000001</v>
      </c>
      <c r="I500" s="1">
        <v>81447.61</v>
      </c>
      <c r="J500" s="1" t="s">
        <v>1859</v>
      </c>
      <c r="K500" s="1">
        <v>0</v>
      </c>
    </row>
    <row r="501" spans="1:11" x14ac:dyDescent="0.3">
      <c r="A501" s="1" t="s">
        <v>1860</v>
      </c>
      <c r="B501" s="1" t="s">
        <v>1861</v>
      </c>
      <c r="C501" s="1" t="s">
        <v>1862</v>
      </c>
      <c r="D501" s="1">
        <v>55671534</v>
      </c>
      <c r="E501" s="1">
        <v>0</v>
      </c>
      <c r="F501" s="1">
        <v>2055</v>
      </c>
      <c r="G501" s="1">
        <v>283</v>
      </c>
      <c r="H501" s="1">
        <v>3.7000000000000002E-3</v>
      </c>
      <c r="I501" s="1">
        <v>196719.2</v>
      </c>
      <c r="J501" s="1" t="s">
        <v>1863</v>
      </c>
      <c r="K501" s="1">
        <v>0</v>
      </c>
    </row>
    <row r="502" spans="1:11" x14ac:dyDescent="0.3">
      <c r="A502" s="1" t="s">
        <v>1864</v>
      </c>
      <c r="B502" s="1" t="s">
        <v>1865</v>
      </c>
      <c r="C502" s="1" t="s">
        <v>1866</v>
      </c>
      <c r="D502" s="1">
        <v>263936</v>
      </c>
      <c r="E502" s="1">
        <v>0</v>
      </c>
      <c r="F502" s="1">
        <v>114</v>
      </c>
      <c r="G502" s="1">
        <v>1</v>
      </c>
      <c r="H502" s="1">
        <v>4.3200000000000002E-2</v>
      </c>
      <c r="I502" s="1">
        <v>263936</v>
      </c>
      <c r="J502" s="1" t="s">
        <v>1867</v>
      </c>
      <c r="K502" s="1">
        <v>0</v>
      </c>
    </row>
    <row r="503" spans="1:11" x14ac:dyDescent="0.3">
      <c r="A503" s="1" t="s">
        <v>1868</v>
      </c>
      <c r="B503" s="1" t="s">
        <v>1869</v>
      </c>
      <c r="C503" s="1" t="s">
        <v>1870</v>
      </c>
      <c r="D503" s="1">
        <v>1743622</v>
      </c>
      <c r="E503" s="1">
        <v>70000</v>
      </c>
      <c r="F503" s="1">
        <v>472</v>
      </c>
      <c r="G503" s="1">
        <v>2</v>
      </c>
      <c r="H503" s="1">
        <v>4.0416999999999996</v>
      </c>
      <c r="I503" s="1">
        <v>871811</v>
      </c>
      <c r="J503" s="1" t="s">
        <v>1871</v>
      </c>
      <c r="K503" s="1">
        <v>0</v>
      </c>
    </row>
    <row r="504" spans="1:11" x14ac:dyDescent="0.3">
      <c r="A504" s="1" t="s">
        <v>1872</v>
      </c>
      <c r="B504" s="1" t="s">
        <v>1873</v>
      </c>
      <c r="C504" s="1" t="s">
        <v>1874</v>
      </c>
      <c r="D504" s="1">
        <v>1695</v>
      </c>
      <c r="E504" s="1">
        <v>27</v>
      </c>
      <c r="F504" s="1">
        <v>0</v>
      </c>
      <c r="G504" s="1">
        <v>1</v>
      </c>
      <c r="H504" s="1">
        <v>1.5929</v>
      </c>
      <c r="I504" s="1">
        <v>1695</v>
      </c>
      <c r="J504" s="1" t="s">
        <v>1875</v>
      </c>
      <c r="K504" s="1">
        <v>2543</v>
      </c>
    </row>
    <row r="505" spans="1:11" x14ac:dyDescent="0.3">
      <c r="A505" s="1" t="s">
        <v>1876</v>
      </c>
      <c r="B505" s="1" t="s">
        <v>1877</v>
      </c>
      <c r="C505" s="1" t="s">
        <v>1878</v>
      </c>
      <c r="D505" s="1">
        <v>773728</v>
      </c>
      <c r="E505" s="1">
        <v>11000</v>
      </c>
      <c r="F505" s="1">
        <v>95</v>
      </c>
      <c r="G505" s="1">
        <v>22</v>
      </c>
      <c r="H505" s="1">
        <v>1.4339999999999999</v>
      </c>
      <c r="I505" s="1">
        <v>35169.449999999997</v>
      </c>
      <c r="J505" s="1" t="s">
        <v>1879</v>
      </c>
      <c r="K505" s="1">
        <v>0</v>
      </c>
    </row>
    <row r="506" spans="1:11" x14ac:dyDescent="0.3">
      <c r="A506" s="1" t="s">
        <v>1880</v>
      </c>
      <c r="B506" s="1" t="s">
        <v>1881</v>
      </c>
      <c r="C506" s="1" t="s">
        <v>1882</v>
      </c>
      <c r="D506" s="1">
        <v>3055467</v>
      </c>
      <c r="E506" s="1">
        <v>75000</v>
      </c>
      <c r="F506" s="1">
        <v>90</v>
      </c>
      <c r="G506" s="1">
        <v>6</v>
      </c>
      <c r="H506" s="1">
        <v>2.4575999999999998</v>
      </c>
      <c r="I506" s="1">
        <v>509244.5</v>
      </c>
      <c r="J506" s="1" t="s">
        <v>1883</v>
      </c>
      <c r="K506" s="1">
        <v>0</v>
      </c>
    </row>
    <row r="507" spans="1:11" x14ac:dyDescent="0.3">
      <c r="A507" s="1" t="s">
        <v>1884</v>
      </c>
      <c r="B507" s="1" t="s">
        <v>1885</v>
      </c>
      <c r="C507" s="1" t="s">
        <v>1886</v>
      </c>
      <c r="D507" s="1">
        <v>348840</v>
      </c>
      <c r="E507" s="1">
        <v>1900</v>
      </c>
      <c r="F507" s="1">
        <v>2</v>
      </c>
      <c r="G507" s="1">
        <v>4</v>
      </c>
      <c r="H507" s="1">
        <v>0.54520000000000002</v>
      </c>
      <c r="I507" s="1">
        <v>87210</v>
      </c>
      <c r="J507" s="1" t="s">
        <v>1887</v>
      </c>
      <c r="K507" s="1">
        <v>0</v>
      </c>
    </row>
    <row r="508" spans="1:11" x14ac:dyDescent="0.3">
      <c r="A508" s="1" t="s">
        <v>1888</v>
      </c>
      <c r="B508" s="1" t="s">
        <v>1889</v>
      </c>
      <c r="C508" s="1" t="s">
        <v>1890</v>
      </c>
      <c r="D508" s="1">
        <v>166012994</v>
      </c>
      <c r="E508" s="1">
        <v>869000</v>
      </c>
      <c r="F508" s="1">
        <v>2049</v>
      </c>
      <c r="G508" s="1">
        <v>232</v>
      </c>
      <c r="H508" s="1">
        <v>0.52470000000000006</v>
      </c>
      <c r="I508" s="1">
        <v>715573.25</v>
      </c>
      <c r="J508" s="1" t="s">
        <v>1891</v>
      </c>
      <c r="K508" s="1">
        <v>399</v>
      </c>
    </row>
    <row r="509" spans="1:11" x14ac:dyDescent="0.3">
      <c r="A509" s="1" t="s">
        <v>1892</v>
      </c>
      <c r="B509" s="1" t="s">
        <v>1893</v>
      </c>
      <c r="C509" s="1" t="s">
        <v>1894</v>
      </c>
      <c r="D509" s="1">
        <v>873720</v>
      </c>
      <c r="E509" s="1">
        <v>9400</v>
      </c>
      <c r="F509" s="1">
        <v>136</v>
      </c>
      <c r="G509" s="1">
        <v>5</v>
      </c>
      <c r="H509" s="1">
        <v>1.0913999999999999</v>
      </c>
      <c r="I509" s="1">
        <v>174744</v>
      </c>
      <c r="J509" s="1" t="s">
        <v>1895</v>
      </c>
      <c r="K509" s="1">
        <v>0</v>
      </c>
    </row>
    <row r="510" spans="1:11" x14ac:dyDescent="0.3">
      <c r="A510" s="1" t="s">
        <v>1896</v>
      </c>
      <c r="B510" s="1" t="s">
        <v>1897</v>
      </c>
      <c r="C510" s="1" t="s">
        <v>1692</v>
      </c>
      <c r="D510" s="1">
        <v>2071924</v>
      </c>
      <c r="E510" s="1">
        <v>10000</v>
      </c>
      <c r="F510" s="1">
        <v>24</v>
      </c>
      <c r="G510" s="1">
        <v>4</v>
      </c>
      <c r="H510" s="1">
        <v>0.48380000000000001</v>
      </c>
      <c r="I510" s="1">
        <v>517981</v>
      </c>
      <c r="J510" s="1" t="s">
        <v>1898</v>
      </c>
      <c r="K510" s="1">
        <v>689</v>
      </c>
    </row>
    <row r="511" spans="1:11" x14ac:dyDescent="0.3">
      <c r="A511" s="1" t="s">
        <v>1899</v>
      </c>
      <c r="B511" s="1" t="s">
        <v>1900</v>
      </c>
      <c r="C511" s="1" t="s">
        <v>1901</v>
      </c>
      <c r="D511" s="1">
        <v>145441283</v>
      </c>
      <c r="E511" s="1">
        <v>2100000</v>
      </c>
      <c r="F511" s="1">
        <v>8179</v>
      </c>
      <c r="G511" s="1">
        <v>557</v>
      </c>
      <c r="H511" s="1">
        <v>1.4495</v>
      </c>
      <c r="I511" s="1">
        <v>261115.41</v>
      </c>
      <c r="J511" s="1" t="s">
        <v>1902</v>
      </c>
      <c r="K511" s="1">
        <v>0</v>
      </c>
    </row>
    <row r="512" spans="1:11" x14ac:dyDescent="0.3">
      <c r="A512" s="1" t="s">
        <v>1903</v>
      </c>
      <c r="B512" s="1" t="s">
        <v>1904</v>
      </c>
      <c r="C512" s="1" t="s">
        <v>1905</v>
      </c>
      <c r="D512" s="1">
        <v>13670622</v>
      </c>
      <c r="E512" s="1">
        <v>0</v>
      </c>
      <c r="F512" s="1">
        <v>3590</v>
      </c>
      <c r="G512" s="1">
        <v>308</v>
      </c>
      <c r="H512" s="1">
        <v>2.63E-2</v>
      </c>
      <c r="I512" s="1">
        <v>44385.14</v>
      </c>
      <c r="J512" s="1" t="s">
        <v>1906</v>
      </c>
      <c r="K512" s="1">
        <v>0</v>
      </c>
    </row>
    <row r="513" spans="1:11" x14ac:dyDescent="0.3">
      <c r="A513" s="1" t="s">
        <v>1907</v>
      </c>
      <c r="B513" s="1" t="s">
        <v>1908</v>
      </c>
      <c r="C513" s="1" t="s">
        <v>1909</v>
      </c>
      <c r="D513" s="1">
        <v>130270346</v>
      </c>
      <c r="E513" s="1">
        <v>770000</v>
      </c>
      <c r="F513" s="1">
        <v>2382</v>
      </c>
      <c r="G513" s="1">
        <v>586</v>
      </c>
      <c r="H513" s="1">
        <v>0.59289999999999998</v>
      </c>
      <c r="I513" s="1">
        <v>222304.34</v>
      </c>
      <c r="J513" s="1" t="s">
        <v>1910</v>
      </c>
      <c r="K513" s="1">
        <v>70</v>
      </c>
    </row>
    <row r="514" spans="1:11" x14ac:dyDescent="0.3">
      <c r="A514" s="1" t="s">
        <v>1911</v>
      </c>
      <c r="B514" s="1" t="s">
        <v>1912</v>
      </c>
      <c r="C514" s="1" t="s">
        <v>1913</v>
      </c>
      <c r="D514" s="1">
        <v>274839347</v>
      </c>
      <c r="E514" s="1">
        <v>2200000</v>
      </c>
      <c r="F514" s="1">
        <v>14206</v>
      </c>
      <c r="G514" s="1">
        <v>1113</v>
      </c>
      <c r="H514" s="1">
        <v>0.80559999999999998</v>
      </c>
      <c r="I514" s="1">
        <v>246935.62</v>
      </c>
      <c r="J514" s="1" t="s">
        <v>1914</v>
      </c>
      <c r="K514" s="1">
        <v>251</v>
      </c>
    </row>
    <row r="515" spans="1:11" x14ac:dyDescent="0.3">
      <c r="A515" s="1" t="s">
        <v>1915</v>
      </c>
      <c r="B515" s="1" t="s">
        <v>1916</v>
      </c>
      <c r="C515" s="1" t="s">
        <v>1917</v>
      </c>
      <c r="D515" s="1">
        <v>798242</v>
      </c>
      <c r="E515" s="1">
        <v>8700</v>
      </c>
      <c r="F515" s="1">
        <v>23</v>
      </c>
      <c r="G515" s="1">
        <v>4</v>
      </c>
      <c r="H515" s="1">
        <v>1.0928</v>
      </c>
      <c r="I515" s="1">
        <v>199560.5</v>
      </c>
      <c r="J515" s="1" t="s">
        <v>1918</v>
      </c>
      <c r="K515" s="1">
        <v>0</v>
      </c>
    </row>
    <row r="516" spans="1:11" x14ac:dyDescent="0.3">
      <c r="A516" s="1" t="s">
        <v>1919</v>
      </c>
      <c r="B516" s="1" t="s">
        <v>1920</v>
      </c>
      <c r="C516" s="1" t="s">
        <v>1921</v>
      </c>
      <c r="D516" s="1">
        <v>3376017</v>
      </c>
      <c r="E516" s="1">
        <v>105000</v>
      </c>
      <c r="F516" s="1">
        <v>178</v>
      </c>
      <c r="G516" s="1">
        <v>7</v>
      </c>
      <c r="H516" s="1">
        <v>3.1154000000000002</v>
      </c>
      <c r="I516" s="1">
        <v>482288.14</v>
      </c>
      <c r="J516" s="1" t="s">
        <v>1922</v>
      </c>
      <c r="K516" s="1">
        <v>0</v>
      </c>
    </row>
    <row r="517" spans="1:11" x14ac:dyDescent="0.3">
      <c r="A517" s="1" t="s">
        <v>1923</v>
      </c>
      <c r="B517" s="1" t="s">
        <v>1924</v>
      </c>
      <c r="C517" s="1" t="s">
        <v>1925</v>
      </c>
      <c r="D517" s="1">
        <v>648065</v>
      </c>
      <c r="E517" s="1">
        <v>12000</v>
      </c>
      <c r="F517" s="1">
        <v>30</v>
      </c>
      <c r="G517" s="1">
        <v>6</v>
      </c>
      <c r="H517" s="1">
        <v>1.8563000000000001</v>
      </c>
      <c r="I517" s="1">
        <v>108010.83</v>
      </c>
      <c r="J517" s="1" t="s">
        <v>1926</v>
      </c>
      <c r="K517" s="1">
        <v>68</v>
      </c>
    </row>
    <row r="518" spans="1:11" x14ac:dyDescent="0.3">
      <c r="A518" s="1" t="s">
        <v>1927</v>
      </c>
      <c r="B518" s="1" t="s">
        <v>1928</v>
      </c>
      <c r="C518" s="1" t="s">
        <v>1929</v>
      </c>
      <c r="D518" s="1">
        <v>12036440</v>
      </c>
      <c r="E518" s="1">
        <v>283000</v>
      </c>
      <c r="F518" s="1">
        <v>1624</v>
      </c>
      <c r="G518" s="1">
        <v>6</v>
      </c>
      <c r="H518" s="1">
        <v>2.3647</v>
      </c>
      <c r="I518" s="1">
        <v>2006073.33</v>
      </c>
      <c r="J518" s="1" t="s">
        <v>1930</v>
      </c>
      <c r="K518" s="1">
        <v>0</v>
      </c>
    </row>
    <row r="519" spans="1:11" x14ac:dyDescent="0.3">
      <c r="A519" s="1" t="s">
        <v>1931</v>
      </c>
      <c r="B519" s="1" t="s">
        <v>1932</v>
      </c>
      <c r="C519" s="1" t="s">
        <v>1096</v>
      </c>
      <c r="D519" s="1">
        <v>3492410</v>
      </c>
      <c r="E519" s="1">
        <v>56000</v>
      </c>
      <c r="F519" s="1">
        <v>5205</v>
      </c>
      <c r="G519" s="1">
        <v>160</v>
      </c>
      <c r="H519" s="1">
        <v>1.7524999999999999</v>
      </c>
      <c r="I519" s="1">
        <v>21827.56</v>
      </c>
      <c r="J519" s="1" t="s">
        <v>1933</v>
      </c>
      <c r="K519" s="1">
        <v>0</v>
      </c>
    </row>
    <row r="520" spans="1:11" x14ac:dyDescent="0.3">
      <c r="A520" s="1" t="s">
        <v>1934</v>
      </c>
      <c r="B520" s="1" t="s">
        <v>1935</v>
      </c>
      <c r="C520" s="1" t="s">
        <v>1936</v>
      </c>
      <c r="D520" s="1">
        <v>957636</v>
      </c>
      <c r="E520" s="1">
        <v>9100</v>
      </c>
      <c r="F520" s="1">
        <v>59</v>
      </c>
      <c r="G520" s="1">
        <v>7</v>
      </c>
      <c r="H520" s="1">
        <v>0.95640000000000003</v>
      </c>
      <c r="I520" s="1">
        <v>136805.14000000001</v>
      </c>
      <c r="J520" s="1" t="s">
        <v>1937</v>
      </c>
      <c r="K520" s="1">
        <v>0</v>
      </c>
    </row>
    <row r="521" spans="1:11" x14ac:dyDescent="0.3">
      <c r="A521" s="1" t="s">
        <v>1938</v>
      </c>
      <c r="B521" s="1" t="s">
        <v>1939</v>
      </c>
      <c r="C521" s="1" t="s">
        <v>1940</v>
      </c>
      <c r="D521" s="1">
        <v>1864099</v>
      </c>
      <c r="E521" s="1">
        <v>36000</v>
      </c>
      <c r="F521" s="1">
        <v>130</v>
      </c>
      <c r="G521" s="1">
        <v>6</v>
      </c>
      <c r="H521" s="1">
        <v>1.9381999999999999</v>
      </c>
      <c r="I521" s="1">
        <v>310683.17</v>
      </c>
      <c r="J521" s="1" t="s">
        <v>1941</v>
      </c>
      <c r="K521" s="1">
        <v>0</v>
      </c>
    </row>
    <row r="522" spans="1:11" x14ac:dyDescent="0.3">
      <c r="A522" s="1" t="s">
        <v>1942</v>
      </c>
      <c r="B522" s="1" t="s">
        <v>1943</v>
      </c>
      <c r="C522" s="1" t="s">
        <v>1944</v>
      </c>
      <c r="D522" s="1">
        <v>162950</v>
      </c>
      <c r="E522" s="1">
        <v>8200</v>
      </c>
      <c r="F522" s="1">
        <v>141</v>
      </c>
      <c r="G522" s="1">
        <v>8</v>
      </c>
      <c r="H522" s="1">
        <v>5.1186999999999996</v>
      </c>
      <c r="I522" s="1">
        <v>20368.75</v>
      </c>
      <c r="J522" s="1" t="s">
        <v>1945</v>
      </c>
      <c r="K522" s="1">
        <v>85</v>
      </c>
    </row>
    <row r="523" spans="1:11" x14ac:dyDescent="0.3">
      <c r="A523" s="1" t="s">
        <v>1946</v>
      </c>
      <c r="B523" s="1" t="s">
        <v>1947</v>
      </c>
      <c r="C523" s="1" t="s">
        <v>1948</v>
      </c>
      <c r="D523" s="1">
        <v>1030194</v>
      </c>
      <c r="E523" s="1">
        <v>12000</v>
      </c>
      <c r="F523" s="1">
        <v>287</v>
      </c>
      <c r="G523" s="1">
        <v>4</v>
      </c>
      <c r="H523" s="1">
        <v>1.1927000000000001</v>
      </c>
      <c r="I523" s="1">
        <v>257548.5</v>
      </c>
      <c r="J523" s="1" t="s">
        <v>1949</v>
      </c>
      <c r="K523" s="1">
        <v>96</v>
      </c>
    </row>
    <row r="524" spans="1:11" x14ac:dyDescent="0.3">
      <c r="A524" s="1" t="s">
        <v>1950</v>
      </c>
      <c r="B524" s="1" t="s">
        <v>1951</v>
      </c>
      <c r="C524" s="1" t="s">
        <v>1952</v>
      </c>
      <c r="D524" s="1">
        <v>224977540</v>
      </c>
      <c r="E524" s="1">
        <v>3100000</v>
      </c>
      <c r="F524" s="1">
        <v>6198</v>
      </c>
      <c r="G524" s="1">
        <v>274</v>
      </c>
      <c r="H524" s="1">
        <v>1.3807</v>
      </c>
      <c r="I524" s="1">
        <v>821085.91</v>
      </c>
      <c r="J524" s="1" t="s">
        <v>1953</v>
      </c>
      <c r="K524" s="1">
        <v>0</v>
      </c>
    </row>
    <row r="525" spans="1:11" x14ac:dyDescent="0.3">
      <c r="A525" s="1" t="s">
        <v>1954</v>
      </c>
      <c r="B525" s="1" t="s">
        <v>1955</v>
      </c>
      <c r="C525" s="1" t="s">
        <v>1956</v>
      </c>
      <c r="D525" s="1">
        <v>41435</v>
      </c>
      <c r="E525" s="1">
        <v>887</v>
      </c>
      <c r="F525" s="1">
        <v>9</v>
      </c>
      <c r="G525" s="1">
        <v>1</v>
      </c>
      <c r="H525" s="1">
        <v>2.1623999999999999</v>
      </c>
      <c r="I525" s="1">
        <v>41435</v>
      </c>
      <c r="J525" s="1" t="s">
        <v>1957</v>
      </c>
      <c r="K525" s="1">
        <v>0</v>
      </c>
    </row>
    <row r="526" spans="1:11" x14ac:dyDescent="0.3">
      <c r="A526" s="1" t="s">
        <v>1958</v>
      </c>
      <c r="B526" s="1" t="s">
        <v>1959</v>
      </c>
      <c r="C526" s="1" t="s">
        <v>1960</v>
      </c>
      <c r="D526" s="1">
        <v>102647848</v>
      </c>
      <c r="E526" s="1">
        <v>5500000</v>
      </c>
      <c r="F526" s="1">
        <v>40309</v>
      </c>
      <c r="G526" s="1">
        <v>1467</v>
      </c>
      <c r="H526" s="1">
        <v>5.3974000000000002</v>
      </c>
      <c r="I526" s="1">
        <v>69971.27</v>
      </c>
      <c r="J526" s="1" t="s">
        <v>1961</v>
      </c>
      <c r="K526" s="1">
        <v>171</v>
      </c>
    </row>
    <row r="527" spans="1:11" x14ac:dyDescent="0.3">
      <c r="A527" s="1" t="s">
        <v>1962</v>
      </c>
      <c r="B527" s="1" t="s">
        <v>1963</v>
      </c>
      <c r="C527" s="1" t="s">
        <v>1964</v>
      </c>
      <c r="D527" s="1">
        <v>2559824</v>
      </c>
      <c r="E527" s="1">
        <v>41000</v>
      </c>
      <c r="F527" s="1">
        <v>152</v>
      </c>
      <c r="G527" s="1">
        <v>4</v>
      </c>
      <c r="H527" s="1">
        <v>1.6075999999999999</v>
      </c>
      <c r="I527" s="1">
        <v>639956</v>
      </c>
      <c r="J527" s="1" t="s">
        <v>1965</v>
      </c>
      <c r="K527" s="1">
        <v>42</v>
      </c>
    </row>
    <row r="528" spans="1:11" x14ac:dyDescent="0.3">
      <c r="A528" s="1" t="s">
        <v>1966</v>
      </c>
      <c r="B528" s="1" t="s">
        <v>1967</v>
      </c>
      <c r="C528" s="1" t="s">
        <v>1789</v>
      </c>
      <c r="D528" s="1">
        <v>10363795</v>
      </c>
      <c r="E528" s="1">
        <v>272000</v>
      </c>
      <c r="F528" s="1">
        <v>2817</v>
      </c>
      <c r="G528" s="1">
        <v>7</v>
      </c>
      <c r="H528" s="1">
        <v>2.6516999999999999</v>
      </c>
      <c r="I528" s="1">
        <v>1480542.14</v>
      </c>
      <c r="J528" s="1" t="s">
        <v>1968</v>
      </c>
      <c r="K528" s="1">
        <v>354</v>
      </c>
    </row>
    <row r="529" spans="1:11" x14ac:dyDescent="0.3">
      <c r="A529" s="1" t="s">
        <v>1969</v>
      </c>
      <c r="B529" s="1" t="s">
        <v>1970</v>
      </c>
      <c r="C529" s="1" t="s">
        <v>1971</v>
      </c>
      <c r="D529" s="1">
        <v>824362</v>
      </c>
      <c r="E529" s="1">
        <v>20000</v>
      </c>
      <c r="F529" s="1">
        <v>96</v>
      </c>
      <c r="G529" s="1">
        <v>5</v>
      </c>
      <c r="H529" s="1">
        <v>2.4378000000000002</v>
      </c>
      <c r="I529" s="1">
        <v>164872.4</v>
      </c>
      <c r="J529" s="1" t="s">
        <v>1972</v>
      </c>
      <c r="K529" s="1">
        <v>0</v>
      </c>
    </row>
    <row r="530" spans="1:11" x14ac:dyDescent="0.3">
      <c r="A530" s="1" t="s">
        <v>1973</v>
      </c>
      <c r="B530" s="1" t="s">
        <v>1974</v>
      </c>
      <c r="C530" s="1" t="s">
        <v>1975</v>
      </c>
      <c r="D530" s="1">
        <v>4625875</v>
      </c>
      <c r="E530" s="1">
        <v>42000</v>
      </c>
      <c r="F530" s="1">
        <v>56</v>
      </c>
      <c r="G530" s="1">
        <v>6</v>
      </c>
      <c r="H530" s="1">
        <v>0.90910000000000002</v>
      </c>
      <c r="I530" s="1">
        <v>770979.17</v>
      </c>
      <c r="J530" s="1" t="s">
        <v>1976</v>
      </c>
      <c r="K530" s="1">
        <v>237</v>
      </c>
    </row>
    <row r="531" spans="1:11" x14ac:dyDescent="0.3">
      <c r="A531" s="1" t="s">
        <v>1977</v>
      </c>
      <c r="B531" s="1" t="s">
        <v>1978</v>
      </c>
      <c r="C531" s="1" t="s">
        <v>1979</v>
      </c>
      <c r="D531" s="1">
        <v>4480634</v>
      </c>
      <c r="E531" s="1">
        <v>158000</v>
      </c>
      <c r="F531" s="1">
        <v>700</v>
      </c>
      <c r="G531" s="1">
        <v>6</v>
      </c>
      <c r="H531" s="1">
        <v>3.5419</v>
      </c>
      <c r="I531" s="1">
        <v>746772.33</v>
      </c>
      <c r="J531" s="1" t="s">
        <v>1980</v>
      </c>
      <c r="K531" s="1">
        <v>0</v>
      </c>
    </row>
    <row r="532" spans="1:11" x14ac:dyDescent="0.3">
      <c r="A532" s="1" t="s">
        <v>1981</v>
      </c>
      <c r="B532" s="1" t="s">
        <v>1982</v>
      </c>
      <c r="C532" s="1" t="s">
        <v>1423</v>
      </c>
      <c r="D532" s="1">
        <v>1523847</v>
      </c>
      <c r="E532" s="1">
        <v>8200</v>
      </c>
      <c r="F532" s="1">
        <v>45</v>
      </c>
      <c r="G532" s="1">
        <v>23</v>
      </c>
      <c r="H532" s="1">
        <v>0.54110000000000003</v>
      </c>
      <c r="I532" s="1">
        <v>66254.22</v>
      </c>
      <c r="J532" s="1" t="s">
        <v>1983</v>
      </c>
      <c r="K532" s="1">
        <v>255</v>
      </c>
    </row>
    <row r="533" spans="1:11" x14ac:dyDescent="0.3">
      <c r="A533" s="1" t="s">
        <v>1984</v>
      </c>
      <c r="B533" s="1" t="s">
        <v>1985</v>
      </c>
      <c r="C533" s="1" t="s">
        <v>1986</v>
      </c>
      <c r="D533" s="1">
        <v>26700022</v>
      </c>
      <c r="E533" s="1">
        <v>251000</v>
      </c>
      <c r="F533" s="1">
        <v>1225</v>
      </c>
      <c r="G533" s="1">
        <v>192</v>
      </c>
      <c r="H533" s="1">
        <v>0.94469999999999998</v>
      </c>
      <c r="I533" s="1">
        <v>139062.60999999999</v>
      </c>
      <c r="J533" s="1" t="s">
        <v>1987</v>
      </c>
      <c r="K533" s="1">
        <v>0</v>
      </c>
    </row>
    <row r="534" spans="1:11" x14ac:dyDescent="0.3">
      <c r="A534" s="1" t="s">
        <v>1988</v>
      </c>
      <c r="B534" s="1" t="s">
        <v>1989</v>
      </c>
      <c r="C534" s="1" t="s">
        <v>1488</v>
      </c>
      <c r="D534" s="1">
        <v>4064456</v>
      </c>
      <c r="E534" s="1">
        <v>107000</v>
      </c>
      <c r="F534" s="1">
        <v>441</v>
      </c>
      <c r="G534" s="1">
        <v>10</v>
      </c>
      <c r="H534" s="1">
        <v>2.6434000000000002</v>
      </c>
      <c r="I534" s="1">
        <v>406445.6</v>
      </c>
      <c r="J534" s="1" t="s">
        <v>1990</v>
      </c>
      <c r="K534" s="1">
        <v>0</v>
      </c>
    </row>
    <row r="535" spans="1:11" x14ac:dyDescent="0.3">
      <c r="A535" s="1" t="s">
        <v>1991</v>
      </c>
      <c r="B535" s="1" t="s">
        <v>1582</v>
      </c>
      <c r="C535" s="1" t="s">
        <v>1407</v>
      </c>
      <c r="D535" s="1">
        <v>3844089</v>
      </c>
      <c r="E535" s="1">
        <v>52000</v>
      </c>
      <c r="F535" s="1">
        <v>258</v>
      </c>
      <c r="G535" s="1">
        <v>8</v>
      </c>
      <c r="H535" s="1">
        <v>1.3593999999999999</v>
      </c>
      <c r="I535" s="1">
        <v>480511.12</v>
      </c>
      <c r="J535" s="1" t="s">
        <v>1992</v>
      </c>
      <c r="K535" s="1">
        <v>25</v>
      </c>
    </row>
    <row r="536" spans="1:11" x14ac:dyDescent="0.3">
      <c r="A536" s="1" t="s">
        <v>1993</v>
      </c>
      <c r="B536" s="1" t="s">
        <v>1994</v>
      </c>
      <c r="C536" s="1" t="s">
        <v>1995</v>
      </c>
      <c r="D536" s="1">
        <v>459240</v>
      </c>
      <c r="E536" s="1">
        <v>10000</v>
      </c>
      <c r="F536" s="1">
        <v>90</v>
      </c>
      <c r="G536" s="1">
        <v>35</v>
      </c>
      <c r="H536" s="1">
        <v>2.1970999999999998</v>
      </c>
      <c r="I536" s="1">
        <v>13121.14</v>
      </c>
      <c r="J536" s="1" t="s">
        <v>1996</v>
      </c>
      <c r="K536" s="1">
        <v>0</v>
      </c>
    </row>
    <row r="537" spans="1:11" x14ac:dyDescent="0.3">
      <c r="A537" s="1" t="s">
        <v>1997</v>
      </c>
      <c r="B537" s="1" t="s">
        <v>1998</v>
      </c>
      <c r="C537" s="1" t="s">
        <v>1999</v>
      </c>
      <c r="D537" s="1">
        <v>3454474</v>
      </c>
      <c r="E537" s="1">
        <v>16000</v>
      </c>
      <c r="F537" s="1">
        <v>10</v>
      </c>
      <c r="G537" s="1">
        <v>8</v>
      </c>
      <c r="H537" s="1">
        <v>0.46350000000000002</v>
      </c>
      <c r="I537" s="1">
        <v>431809.25</v>
      </c>
      <c r="J537" s="1" t="s">
        <v>2000</v>
      </c>
      <c r="K537" s="1">
        <v>0</v>
      </c>
    </row>
    <row r="538" spans="1:11" x14ac:dyDescent="0.3">
      <c r="A538" s="1" t="s">
        <v>2001</v>
      </c>
      <c r="B538" s="1" t="s">
        <v>2002</v>
      </c>
      <c r="C538" s="1" t="s">
        <v>2003</v>
      </c>
      <c r="D538" s="1">
        <v>237762</v>
      </c>
      <c r="E538" s="1">
        <v>12000</v>
      </c>
      <c r="F538" s="1">
        <v>124</v>
      </c>
      <c r="G538" s="1">
        <v>1</v>
      </c>
      <c r="H538" s="1">
        <v>5.0991999999999997</v>
      </c>
      <c r="I538" s="1">
        <v>237762</v>
      </c>
      <c r="J538" s="1" t="s">
        <v>2004</v>
      </c>
      <c r="K538" s="1">
        <v>0</v>
      </c>
    </row>
    <row r="539" spans="1:11" x14ac:dyDescent="0.3">
      <c r="A539" s="1" t="s">
        <v>2005</v>
      </c>
      <c r="B539" s="1" t="s">
        <v>2006</v>
      </c>
      <c r="C539" s="1" t="s">
        <v>2007</v>
      </c>
      <c r="D539" s="1">
        <v>114545737</v>
      </c>
      <c r="E539" s="1">
        <v>1500000</v>
      </c>
      <c r="F539" s="1">
        <v>1059</v>
      </c>
      <c r="G539" s="1">
        <v>1228</v>
      </c>
      <c r="H539" s="1">
        <v>1.3104</v>
      </c>
      <c r="I539" s="1">
        <v>93278.29</v>
      </c>
      <c r="J539" s="1" t="s">
        <v>2008</v>
      </c>
      <c r="K539" s="1">
        <v>0</v>
      </c>
    </row>
    <row r="540" spans="1:11" x14ac:dyDescent="0.3">
      <c r="A540" s="1" t="s">
        <v>2009</v>
      </c>
      <c r="B540" s="1" t="s">
        <v>2010</v>
      </c>
      <c r="C540" s="1" t="s">
        <v>169</v>
      </c>
      <c r="D540" s="1">
        <v>12650631</v>
      </c>
      <c r="E540" s="1">
        <v>31000</v>
      </c>
      <c r="F540" s="1">
        <v>467</v>
      </c>
      <c r="G540" s="1">
        <v>255</v>
      </c>
      <c r="H540" s="1">
        <v>0.2487</v>
      </c>
      <c r="I540" s="1">
        <v>49610.32</v>
      </c>
      <c r="J540" s="1" t="s">
        <v>2011</v>
      </c>
      <c r="K540" s="1">
        <v>0</v>
      </c>
    </row>
    <row r="541" spans="1:11" x14ac:dyDescent="0.3">
      <c r="A541" s="1" t="s">
        <v>2012</v>
      </c>
      <c r="B541" s="1" t="s">
        <v>2013</v>
      </c>
      <c r="C541" s="1" t="s">
        <v>2014</v>
      </c>
      <c r="D541" s="1">
        <v>690487</v>
      </c>
      <c r="E541" s="1">
        <v>8300</v>
      </c>
      <c r="F541" s="1">
        <v>13</v>
      </c>
      <c r="G541" s="1">
        <v>3</v>
      </c>
      <c r="H541" s="1">
        <v>1.2039</v>
      </c>
      <c r="I541" s="1">
        <v>230162.33</v>
      </c>
      <c r="J541" s="1" t="s">
        <v>2015</v>
      </c>
      <c r="K541" s="1">
        <v>1864</v>
      </c>
    </row>
    <row r="542" spans="1:11" x14ac:dyDescent="0.3">
      <c r="A542" s="1" t="s">
        <v>2016</v>
      </c>
      <c r="B542" s="1" t="s">
        <v>2017</v>
      </c>
      <c r="C542" s="1" t="s">
        <v>412</v>
      </c>
      <c r="D542" s="1">
        <v>21091</v>
      </c>
      <c r="E542" s="1">
        <v>337</v>
      </c>
      <c r="F542" s="1">
        <v>11</v>
      </c>
      <c r="G542" s="1">
        <v>3983</v>
      </c>
      <c r="H542" s="1">
        <v>1.65</v>
      </c>
      <c r="I542" s="1">
        <v>5.3</v>
      </c>
      <c r="J542" s="1" t="s">
        <v>2018</v>
      </c>
      <c r="K542" s="1">
        <v>896</v>
      </c>
    </row>
    <row r="543" spans="1:11" x14ac:dyDescent="0.3">
      <c r="A543" s="1" t="s">
        <v>2019</v>
      </c>
      <c r="B543" s="1" t="s">
        <v>2020</v>
      </c>
      <c r="C543" s="1" t="s">
        <v>2021</v>
      </c>
      <c r="D543" s="1">
        <v>16975107</v>
      </c>
      <c r="E543" s="1">
        <v>831000</v>
      </c>
      <c r="F543" s="1">
        <v>3194</v>
      </c>
      <c r="G543" s="1">
        <v>1828</v>
      </c>
      <c r="H543" s="1">
        <v>4.9142000000000001</v>
      </c>
      <c r="I543" s="1">
        <v>9286.16</v>
      </c>
      <c r="J543" s="1" t="s">
        <v>2022</v>
      </c>
      <c r="K543" s="1">
        <v>647</v>
      </c>
    </row>
    <row r="544" spans="1:11" x14ac:dyDescent="0.3">
      <c r="A544" s="1" t="s">
        <v>2023</v>
      </c>
      <c r="B544" s="1" t="s">
        <v>2024</v>
      </c>
      <c r="C544" s="1" t="s">
        <v>1311</v>
      </c>
      <c r="D544" s="1">
        <v>1550075</v>
      </c>
      <c r="E544" s="1">
        <v>112000</v>
      </c>
      <c r="F544" s="1">
        <v>590</v>
      </c>
      <c r="G544" s="1">
        <v>37</v>
      </c>
      <c r="H544" s="1">
        <v>7.2634999999999996</v>
      </c>
      <c r="I544" s="1">
        <v>41893.919999999998</v>
      </c>
      <c r="J544" s="1" t="s">
        <v>2025</v>
      </c>
      <c r="K544" s="1">
        <v>0</v>
      </c>
    </row>
    <row r="545" spans="1:11" x14ac:dyDescent="0.3">
      <c r="A545" s="1" t="s">
        <v>2026</v>
      </c>
      <c r="B545" s="1" t="s">
        <v>2027</v>
      </c>
      <c r="C545" s="1" t="s">
        <v>2028</v>
      </c>
      <c r="D545" s="1">
        <v>54891000</v>
      </c>
      <c r="E545" s="1">
        <v>170000</v>
      </c>
      <c r="F545" s="1">
        <v>40</v>
      </c>
      <c r="G545" s="1">
        <v>259</v>
      </c>
      <c r="H545" s="1">
        <v>0.30980000000000002</v>
      </c>
      <c r="I545" s="1">
        <v>211934.36</v>
      </c>
      <c r="J545" s="1" t="s">
        <v>2029</v>
      </c>
      <c r="K545" s="1">
        <v>584</v>
      </c>
    </row>
    <row r="546" spans="1:11" x14ac:dyDescent="0.3">
      <c r="A546" s="1" t="s">
        <v>2030</v>
      </c>
      <c r="B546" s="1" t="s">
        <v>2031</v>
      </c>
      <c r="C546" s="1" t="s">
        <v>2032</v>
      </c>
      <c r="D546" s="1">
        <v>346782</v>
      </c>
      <c r="E546" s="1">
        <v>909</v>
      </c>
      <c r="F546" s="1">
        <v>8</v>
      </c>
      <c r="G546" s="1">
        <v>2903</v>
      </c>
      <c r="H546" s="1">
        <v>0.26440000000000002</v>
      </c>
      <c r="I546" s="1">
        <v>119.46</v>
      </c>
      <c r="J546" s="1" t="s">
        <v>2033</v>
      </c>
      <c r="K546" s="1">
        <v>216</v>
      </c>
    </row>
    <row r="547" spans="1:11" x14ac:dyDescent="0.3">
      <c r="A547" s="1" t="s">
        <v>2034</v>
      </c>
      <c r="B547" s="1" t="s">
        <v>2035</v>
      </c>
      <c r="C547" s="1" t="s">
        <v>2036</v>
      </c>
      <c r="D547" s="1">
        <v>37682337</v>
      </c>
      <c r="E547" s="1">
        <v>230000</v>
      </c>
      <c r="F547" s="1">
        <v>653</v>
      </c>
      <c r="G547" s="1">
        <v>193</v>
      </c>
      <c r="H547" s="1">
        <v>0.61209999999999998</v>
      </c>
      <c r="I547" s="1">
        <v>195245.27</v>
      </c>
      <c r="J547" s="1" t="s">
        <v>2037</v>
      </c>
      <c r="K547" s="1">
        <v>0</v>
      </c>
    </row>
    <row r="548" spans="1:11" x14ac:dyDescent="0.3">
      <c r="A548" s="1" t="s">
        <v>2038</v>
      </c>
      <c r="B548" s="1" t="s">
        <v>2039</v>
      </c>
      <c r="C548" s="1" t="s">
        <v>2040</v>
      </c>
      <c r="D548" s="1">
        <v>36076918</v>
      </c>
      <c r="E548" s="1">
        <v>63000</v>
      </c>
      <c r="F548" s="1">
        <v>456</v>
      </c>
      <c r="G548" s="1">
        <v>368</v>
      </c>
      <c r="H548" s="1">
        <v>0.1759</v>
      </c>
      <c r="I548" s="1">
        <v>98035.1</v>
      </c>
      <c r="J548" s="1" t="s">
        <v>2041</v>
      </c>
      <c r="K548" s="1">
        <v>412</v>
      </c>
    </row>
    <row r="549" spans="1:11" x14ac:dyDescent="0.3">
      <c r="A549" s="1" t="s">
        <v>2042</v>
      </c>
      <c r="B549" s="1" t="s">
        <v>2043</v>
      </c>
      <c r="C549" s="1" t="s">
        <v>320</v>
      </c>
      <c r="D549" s="1">
        <v>354953</v>
      </c>
      <c r="E549" s="1">
        <v>6200</v>
      </c>
      <c r="F549" s="1">
        <v>180</v>
      </c>
      <c r="G549" s="1">
        <v>2</v>
      </c>
      <c r="H549" s="1">
        <v>1.7974000000000001</v>
      </c>
      <c r="I549" s="1">
        <v>177476.5</v>
      </c>
      <c r="J549" s="1" t="s">
        <v>2044</v>
      </c>
      <c r="K549" s="1">
        <v>69</v>
      </c>
    </row>
    <row r="550" spans="1:11" x14ac:dyDescent="0.3">
      <c r="A550" s="1" t="s">
        <v>2045</v>
      </c>
      <c r="B550" s="1" t="s">
        <v>2046</v>
      </c>
      <c r="C550" s="1" t="s">
        <v>716</v>
      </c>
      <c r="D550" s="1">
        <v>1006878</v>
      </c>
      <c r="E550" s="1">
        <v>1300</v>
      </c>
      <c r="F550" s="1">
        <v>9</v>
      </c>
      <c r="G550" s="1">
        <v>277</v>
      </c>
      <c r="H550" s="1">
        <v>0.13</v>
      </c>
      <c r="I550" s="1">
        <v>3634.94</v>
      </c>
      <c r="J550" s="1" t="s">
        <v>2047</v>
      </c>
      <c r="K550" s="1">
        <v>0</v>
      </c>
    </row>
    <row r="551" spans="1:11" x14ac:dyDescent="0.3">
      <c r="A551" s="1" t="s">
        <v>2048</v>
      </c>
      <c r="B551" s="1" t="s">
        <v>2049</v>
      </c>
      <c r="C551" s="1" t="s">
        <v>2050</v>
      </c>
      <c r="D551" s="1">
        <v>712594</v>
      </c>
      <c r="E551" s="1">
        <v>3400</v>
      </c>
      <c r="F551" s="1">
        <v>252</v>
      </c>
      <c r="G551" s="1">
        <v>416</v>
      </c>
      <c r="H551" s="1">
        <v>0.51249999999999996</v>
      </c>
      <c r="I551" s="1">
        <v>1712.97</v>
      </c>
      <c r="J551" s="1" t="s">
        <v>2051</v>
      </c>
      <c r="K551" s="1">
        <v>377</v>
      </c>
    </row>
    <row r="552" spans="1:11" x14ac:dyDescent="0.3">
      <c r="A552" s="1" t="s">
        <v>2052</v>
      </c>
      <c r="B552" s="1" t="s">
        <v>2053</v>
      </c>
      <c r="C552" s="1" t="s">
        <v>2054</v>
      </c>
      <c r="D552" s="1">
        <v>3791708</v>
      </c>
      <c r="E552" s="1">
        <v>49000</v>
      </c>
      <c r="F552" s="1">
        <v>217</v>
      </c>
      <c r="G552" s="1">
        <v>12</v>
      </c>
      <c r="H552" s="1">
        <v>1.298</v>
      </c>
      <c r="I552" s="1">
        <v>315975.67</v>
      </c>
      <c r="J552" s="1" t="s">
        <v>2055</v>
      </c>
      <c r="K552" s="1">
        <v>0</v>
      </c>
    </row>
    <row r="553" spans="1:11" x14ac:dyDescent="0.3">
      <c r="A553" s="1" t="s">
        <v>2056</v>
      </c>
      <c r="B553" s="1" t="s">
        <v>2057</v>
      </c>
      <c r="C553" s="1" t="s">
        <v>2058</v>
      </c>
      <c r="D553" s="1">
        <v>13026858</v>
      </c>
      <c r="E553" s="1">
        <v>200000</v>
      </c>
      <c r="F553" s="1">
        <v>102</v>
      </c>
      <c r="G553" s="1">
        <v>507</v>
      </c>
      <c r="H553" s="1">
        <v>1.5361</v>
      </c>
      <c r="I553" s="1">
        <v>25694</v>
      </c>
      <c r="J553" s="1" t="s">
        <v>2059</v>
      </c>
      <c r="K553" s="1">
        <v>0</v>
      </c>
    </row>
    <row r="554" spans="1:11" x14ac:dyDescent="0.3">
      <c r="A554" s="1" t="s">
        <v>2060</v>
      </c>
      <c r="B554" s="1" t="s">
        <v>2061</v>
      </c>
      <c r="C554" s="1" t="s">
        <v>2062</v>
      </c>
      <c r="D554" s="1">
        <v>5407430</v>
      </c>
      <c r="E554" s="1">
        <v>78000</v>
      </c>
      <c r="F554" s="1">
        <v>320</v>
      </c>
      <c r="G554" s="1">
        <v>5</v>
      </c>
      <c r="H554" s="1">
        <v>1.4483999999999999</v>
      </c>
      <c r="I554" s="1">
        <v>1081486</v>
      </c>
      <c r="J554" s="1" t="s">
        <v>2063</v>
      </c>
      <c r="K554" s="1">
        <v>26</v>
      </c>
    </row>
    <row r="555" spans="1:11" x14ac:dyDescent="0.3">
      <c r="A555" s="1" t="s">
        <v>2064</v>
      </c>
      <c r="B555" s="1" t="s">
        <v>2065</v>
      </c>
      <c r="C555" s="1" t="s">
        <v>2066</v>
      </c>
      <c r="D555" s="1">
        <v>331388</v>
      </c>
      <c r="E555" s="1">
        <v>7900</v>
      </c>
      <c r="F555" s="1">
        <v>443</v>
      </c>
      <c r="G555" s="1">
        <v>4</v>
      </c>
      <c r="H555" s="1">
        <v>2.5175999999999998</v>
      </c>
      <c r="I555" s="1">
        <v>82847</v>
      </c>
      <c r="J555" s="1" t="s">
        <v>2067</v>
      </c>
      <c r="K555" s="1">
        <v>18</v>
      </c>
    </row>
    <row r="556" spans="1:11" x14ac:dyDescent="0.3">
      <c r="A556" s="1" t="s">
        <v>2068</v>
      </c>
      <c r="B556" s="1" t="s">
        <v>2069</v>
      </c>
      <c r="C556" s="1" t="s">
        <v>1445</v>
      </c>
      <c r="D556" s="1">
        <v>4054123</v>
      </c>
      <c r="E556" s="1">
        <v>73000</v>
      </c>
      <c r="F556" s="1">
        <v>0</v>
      </c>
      <c r="G556" s="1">
        <v>12</v>
      </c>
      <c r="H556" s="1">
        <v>1.8006</v>
      </c>
      <c r="I556" s="1">
        <v>337843.58</v>
      </c>
      <c r="J556" s="1" t="s">
        <v>2070</v>
      </c>
      <c r="K556" s="1">
        <v>0</v>
      </c>
    </row>
    <row r="557" spans="1:11" x14ac:dyDescent="0.3">
      <c r="A557" s="1" t="s">
        <v>2071</v>
      </c>
      <c r="B557" s="1" t="s">
        <v>2072</v>
      </c>
      <c r="C557" s="1" t="s">
        <v>2073</v>
      </c>
      <c r="D557" s="1">
        <v>8649767</v>
      </c>
      <c r="E557" s="1">
        <v>42000</v>
      </c>
      <c r="F557" s="1">
        <v>163</v>
      </c>
      <c r="G557" s="1">
        <v>243</v>
      </c>
      <c r="H557" s="1">
        <v>0.4874</v>
      </c>
      <c r="I557" s="1">
        <v>35595.75</v>
      </c>
      <c r="J557" s="1" t="s">
        <v>2074</v>
      </c>
      <c r="K557" s="1">
        <v>34</v>
      </c>
    </row>
    <row r="558" spans="1:11" x14ac:dyDescent="0.3">
      <c r="A558" s="1" t="s">
        <v>2075</v>
      </c>
      <c r="B558" s="1" t="s">
        <v>2076</v>
      </c>
      <c r="C558" s="1" t="s">
        <v>796</v>
      </c>
      <c r="D558" s="1">
        <v>1436128</v>
      </c>
      <c r="E558" s="1">
        <v>21000</v>
      </c>
      <c r="F558" s="1">
        <v>496</v>
      </c>
      <c r="G558" s="1">
        <v>563</v>
      </c>
      <c r="H558" s="1">
        <v>1.4967999999999999</v>
      </c>
      <c r="I558" s="1">
        <v>2550.85</v>
      </c>
      <c r="J558" s="1" t="s">
        <v>2077</v>
      </c>
      <c r="K558" s="1">
        <v>0</v>
      </c>
    </row>
    <row r="559" spans="1:11" x14ac:dyDescent="0.3">
      <c r="A559" s="1" t="s">
        <v>2078</v>
      </c>
      <c r="B559" s="1" t="s">
        <v>2079</v>
      </c>
      <c r="C559" s="1" t="s">
        <v>2080</v>
      </c>
      <c r="D559" s="1">
        <v>253942754</v>
      </c>
      <c r="E559" s="1">
        <v>4200000</v>
      </c>
      <c r="F559" s="1">
        <v>4791</v>
      </c>
      <c r="G559" s="1">
        <v>821</v>
      </c>
      <c r="H559" s="1">
        <v>1.6557999999999999</v>
      </c>
      <c r="I559" s="1">
        <v>309309.08</v>
      </c>
      <c r="J559" s="1" t="s">
        <v>2081</v>
      </c>
      <c r="K559" s="1">
        <v>0</v>
      </c>
    </row>
    <row r="560" spans="1:11" x14ac:dyDescent="0.3">
      <c r="A560" s="1" t="s">
        <v>2082</v>
      </c>
      <c r="B560" s="1" t="s">
        <v>2083</v>
      </c>
      <c r="C560" s="1" t="s">
        <v>2084</v>
      </c>
      <c r="D560" s="1">
        <v>401025</v>
      </c>
      <c r="E560" s="1">
        <v>11000</v>
      </c>
      <c r="F560" s="1">
        <v>476</v>
      </c>
      <c r="G560" s="1">
        <v>27</v>
      </c>
      <c r="H560" s="1">
        <v>2.8616999999999999</v>
      </c>
      <c r="I560" s="1">
        <v>14852.78</v>
      </c>
      <c r="J560" s="1" t="s">
        <v>2085</v>
      </c>
      <c r="K560" s="1">
        <v>0</v>
      </c>
    </row>
    <row r="561" spans="1:11" x14ac:dyDescent="0.3">
      <c r="A561" s="1" t="s">
        <v>2086</v>
      </c>
      <c r="B561" s="1" t="s">
        <v>2087</v>
      </c>
      <c r="C561" s="1" t="s">
        <v>2088</v>
      </c>
      <c r="D561" s="1">
        <v>23525372</v>
      </c>
      <c r="E561" s="1">
        <v>318000</v>
      </c>
      <c r="F561" s="1">
        <v>1012</v>
      </c>
      <c r="G561" s="1">
        <v>205</v>
      </c>
      <c r="H561" s="1">
        <v>1.3560000000000001</v>
      </c>
      <c r="I561" s="1">
        <v>114757.91</v>
      </c>
      <c r="J561" s="1" t="s">
        <v>2089</v>
      </c>
      <c r="K561" s="1">
        <v>0</v>
      </c>
    </row>
    <row r="562" spans="1:11" x14ac:dyDescent="0.3">
      <c r="A562" s="1" t="s">
        <v>2090</v>
      </c>
      <c r="B562" s="1" t="s">
        <v>2091</v>
      </c>
      <c r="C562" s="1" t="s">
        <v>2092</v>
      </c>
      <c r="D562" s="1">
        <v>45723</v>
      </c>
      <c r="E562" s="1">
        <v>394</v>
      </c>
      <c r="F562" s="1">
        <v>0</v>
      </c>
      <c r="G562" s="1">
        <v>4125</v>
      </c>
      <c r="H562" s="1">
        <v>0.86170000000000002</v>
      </c>
      <c r="I562" s="1">
        <v>11.08</v>
      </c>
      <c r="J562" s="1" t="s">
        <v>2093</v>
      </c>
      <c r="K562" s="1">
        <v>508</v>
      </c>
    </row>
    <row r="563" spans="1:11" x14ac:dyDescent="0.3">
      <c r="A563" s="1" t="s">
        <v>2094</v>
      </c>
      <c r="B563" s="1" t="s">
        <v>2095</v>
      </c>
      <c r="C563" s="1" t="s">
        <v>2096</v>
      </c>
      <c r="D563" s="1">
        <v>296332425</v>
      </c>
      <c r="E563" s="1">
        <v>1800000</v>
      </c>
      <c r="F563" s="1">
        <v>4152</v>
      </c>
      <c r="G563" s="1">
        <v>738</v>
      </c>
      <c r="H563" s="1">
        <v>0.60880000000000001</v>
      </c>
      <c r="I563" s="1">
        <v>401534.45</v>
      </c>
      <c r="J563" s="1" t="s">
        <v>2097</v>
      </c>
      <c r="K563" s="1">
        <v>0</v>
      </c>
    </row>
    <row r="564" spans="1:11" x14ac:dyDescent="0.3">
      <c r="A564" s="1" t="s">
        <v>2098</v>
      </c>
      <c r="B564" s="1" t="s">
        <v>2099</v>
      </c>
      <c r="C564" s="1" t="s">
        <v>2100</v>
      </c>
      <c r="D564" s="1">
        <v>567</v>
      </c>
      <c r="E564" s="1">
        <v>26</v>
      </c>
      <c r="F564" s="1">
        <v>1</v>
      </c>
      <c r="G564" s="1">
        <v>1</v>
      </c>
      <c r="H564" s="1">
        <v>4.7618999999999998</v>
      </c>
      <c r="I564" s="1">
        <v>567</v>
      </c>
      <c r="J564" s="1" t="s">
        <v>2101</v>
      </c>
      <c r="K564" s="1">
        <v>250</v>
      </c>
    </row>
    <row r="565" spans="1:11" x14ac:dyDescent="0.3">
      <c r="A565" s="1" t="s">
        <v>2102</v>
      </c>
      <c r="B565" s="1" t="s">
        <v>2103</v>
      </c>
      <c r="C565" s="1" t="s">
        <v>2104</v>
      </c>
      <c r="D565" s="1">
        <v>7304043</v>
      </c>
      <c r="E565" s="1">
        <v>77000</v>
      </c>
      <c r="F565" s="1">
        <v>296</v>
      </c>
      <c r="G565" s="1">
        <v>7</v>
      </c>
      <c r="H565" s="1">
        <v>1.0583</v>
      </c>
      <c r="I565" s="1">
        <v>1043434.71</v>
      </c>
      <c r="J565" s="1" t="s">
        <v>2105</v>
      </c>
      <c r="K565" s="1">
        <v>0</v>
      </c>
    </row>
    <row r="566" spans="1:11" x14ac:dyDescent="0.3">
      <c r="A566" s="1" t="s">
        <v>2106</v>
      </c>
      <c r="B566" s="1" t="s">
        <v>2107</v>
      </c>
      <c r="C566" s="1" t="s">
        <v>2108</v>
      </c>
      <c r="D566" s="1">
        <v>223034</v>
      </c>
      <c r="E566" s="1">
        <v>31000</v>
      </c>
      <c r="F566" s="1">
        <v>238</v>
      </c>
      <c r="G566" s="1">
        <v>1</v>
      </c>
      <c r="H566" s="1">
        <v>14.0059</v>
      </c>
      <c r="I566" s="1">
        <v>223034</v>
      </c>
      <c r="J566" s="1" t="s">
        <v>2109</v>
      </c>
      <c r="K566" s="1">
        <v>133</v>
      </c>
    </row>
    <row r="567" spans="1:11" x14ac:dyDescent="0.3">
      <c r="A567" s="1" t="s">
        <v>2110</v>
      </c>
      <c r="B567" s="1" t="s">
        <v>2111</v>
      </c>
      <c r="C567" s="1" t="s">
        <v>2112</v>
      </c>
      <c r="D567" s="1">
        <v>295475</v>
      </c>
      <c r="E567" s="1">
        <v>4100</v>
      </c>
      <c r="F567" s="1">
        <v>87</v>
      </c>
      <c r="G567" s="1">
        <v>1</v>
      </c>
      <c r="H567" s="1">
        <v>1.417</v>
      </c>
      <c r="I567" s="1">
        <v>295475</v>
      </c>
      <c r="J567" s="1" t="s">
        <v>2113</v>
      </c>
      <c r="K567" s="1">
        <v>0</v>
      </c>
    </row>
    <row r="568" spans="1:11" x14ac:dyDescent="0.3">
      <c r="A568" s="1" t="s">
        <v>2114</v>
      </c>
      <c r="B568" s="1" t="s">
        <v>2115</v>
      </c>
      <c r="C568" s="1" t="s">
        <v>1359</v>
      </c>
      <c r="D568" s="1">
        <v>2017601</v>
      </c>
      <c r="E568" s="1">
        <v>53000</v>
      </c>
      <c r="F568" s="1">
        <v>1412</v>
      </c>
      <c r="G568" s="1">
        <v>5</v>
      </c>
      <c r="H568" s="1">
        <v>2.6968999999999999</v>
      </c>
      <c r="I568" s="1">
        <v>403520.2</v>
      </c>
      <c r="J568" s="1" t="s">
        <v>2116</v>
      </c>
      <c r="K568" s="1">
        <v>0</v>
      </c>
    </row>
    <row r="569" spans="1:11" x14ac:dyDescent="0.3">
      <c r="A569" s="1" t="s">
        <v>2117</v>
      </c>
      <c r="B569" s="1" t="s">
        <v>2118</v>
      </c>
      <c r="C569" s="1" t="s">
        <v>702</v>
      </c>
      <c r="D569" s="1">
        <v>18791326</v>
      </c>
      <c r="E569" s="1">
        <v>0</v>
      </c>
      <c r="F569" s="1">
        <v>0</v>
      </c>
      <c r="G569" s="1">
        <v>343</v>
      </c>
      <c r="H569" s="1">
        <v>0</v>
      </c>
      <c r="I569" s="1">
        <v>54785.21</v>
      </c>
      <c r="J569" s="1" t="s">
        <v>2119</v>
      </c>
      <c r="K569" s="1">
        <v>0</v>
      </c>
    </row>
    <row r="570" spans="1:11" x14ac:dyDescent="0.3">
      <c r="A570" s="1" t="s">
        <v>2120</v>
      </c>
      <c r="B570" s="1" t="s">
        <v>2121</v>
      </c>
      <c r="C570" s="1" t="s">
        <v>2122</v>
      </c>
      <c r="D570" s="1">
        <v>551368749</v>
      </c>
      <c r="E570" s="1">
        <v>4400000</v>
      </c>
      <c r="F570" s="1">
        <v>0</v>
      </c>
      <c r="G570" s="1">
        <v>700</v>
      </c>
      <c r="H570" s="1">
        <v>0.79800000000000004</v>
      </c>
      <c r="I570" s="1">
        <v>787669.64</v>
      </c>
      <c r="J570" s="1" t="s">
        <v>2123</v>
      </c>
      <c r="K570" s="1">
        <v>0</v>
      </c>
    </row>
    <row r="571" spans="1:11" x14ac:dyDescent="0.3">
      <c r="A571" s="1" t="s">
        <v>2124</v>
      </c>
      <c r="B571" s="1" t="s">
        <v>2125</v>
      </c>
      <c r="C571" s="1" t="s">
        <v>2126</v>
      </c>
      <c r="D571" s="1">
        <v>12448312</v>
      </c>
      <c r="E571" s="1">
        <v>109000</v>
      </c>
      <c r="F571" s="1">
        <v>467</v>
      </c>
      <c r="G571" s="1">
        <v>200</v>
      </c>
      <c r="H571" s="1">
        <v>0.87939999999999996</v>
      </c>
      <c r="I571" s="1">
        <v>62241.56</v>
      </c>
      <c r="J571" s="1" t="s">
        <v>2127</v>
      </c>
      <c r="K571" s="1">
        <v>0</v>
      </c>
    </row>
    <row r="572" spans="1:11" x14ac:dyDescent="0.3">
      <c r="A572" s="1" t="s">
        <v>2128</v>
      </c>
      <c r="B572" s="1" t="s">
        <v>2129</v>
      </c>
      <c r="C572" s="1" t="s">
        <v>2130</v>
      </c>
      <c r="D572" s="1">
        <v>1555417</v>
      </c>
      <c r="E572" s="1">
        <v>35000</v>
      </c>
      <c r="F572" s="1">
        <v>113</v>
      </c>
      <c r="G572" s="1">
        <v>6</v>
      </c>
      <c r="H572" s="1">
        <v>2.2574999999999998</v>
      </c>
      <c r="I572" s="1">
        <v>259236.17</v>
      </c>
      <c r="J572" s="1" t="s">
        <v>2131</v>
      </c>
      <c r="K572" s="1">
        <v>970</v>
      </c>
    </row>
    <row r="573" spans="1:11" x14ac:dyDescent="0.3">
      <c r="A573" s="1" t="s">
        <v>2132</v>
      </c>
      <c r="B573" s="1" t="s">
        <v>2133</v>
      </c>
      <c r="C573" s="1" t="s">
        <v>2134</v>
      </c>
      <c r="D573" s="1">
        <v>1354142</v>
      </c>
      <c r="E573" s="1">
        <v>33000</v>
      </c>
      <c r="F573" s="1">
        <v>339</v>
      </c>
      <c r="G573" s="1">
        <v>14</v>
      </c>
      <c r="H573" s="1">
        <v>2.4620000000000002</v>
      </c>
      <c r="I573" s="1">
        <v>96724.43</v>
      </c>
      <c r="J573" s="1" t="s">
        <v>2135</v>
      </c>
      <c r="K573" s="1">
        <v>0</v>
      </c>
    </row>
    <row r="574" spans="1:11" x14ac:dyDescent="0.3">
      <c r="A574" s="1" t="s">
        <v>2136</v>
      </c>
      <c r="B574" s="1" t="s">
        <v>2137</v>
      </c>
      <c r="C574" s="1" t="s">
        <v>2138</v>
      </c>
      <c r="D574" s="1">
        <v>7638070</v>
      </c>
      <c r="E574" s="1">
        <v>40000</v>
      </c>
      <c r="F574" s="1">
        <v>96</v>
      </c>
      <c r="G574" s="1">
        <v>8</v>
      </c>
      <c r="H574" s="1">
        <v>0.52490000000000003</v>
      </c>
      <c r="I574" s="1">
        <v>954758.75</v>
      </c>
      <c r="J574" s="1" t="s">
        <v>2139</v>
      </c>
      <c r="K574" s="1">
        <v>76</v>
      </c>
    </row>
    <row r="575" spans="1:11" x14ac:dyDescent="0.3">
      <c r="A575" s="1" t="s">
        <v>2140</v>
      </c>
      <c r="B575" s="1" t="s">
        <v>2141</v>
      </c>
      <c r="C575" s="1" t="s">
        <v>2142</v>
      </c>
      <c r="D575" s="1">
        <v>3246996</v>
      </c>
      <c r="E575" s="1">
        <v>127000</v>
      </c>
      <c r="F575" s="1">
        <v>1017</v>
      </c>
      <c r="G575" s="1">
        <v>255</v>
      </c>
      <c r="H575" s="1">
        <v>3.9426000000000001</v>
      </c>
      <c r="I575" s="1">
        <v>12733.32</v>
      </c>
      <c r="J575" s="1" t="s">
        <v>2143</v>
      </c>
      <c r="K575" s="1">
        <v>0</v>
      </c>
    </row>
    <row r="576" spans="1:11" x14ac:dyDescent="0.3">
      <c r="A576" s="1" t="s">
        <v>2144</v>
      </c>
      <c r="B576" s="1" t="s">
        <v>2145</v>
      </c>
      <c r="C576" s="1" t="s">
        <v>2146</v>
      </c>
      <c r="D576" s="1">
        <v>62814727</v>
      </c>
      <c r="E576" s="1">
        <v>0</v>
      </c>
      <c r="F576" s="1">
        <v>0</v>
      </c>
      <c r="G576" s="1">
        <v>9</v>
      </c>
      <c r="H576" s="1">
        <v>0</v>
      </c>
      <c r="I576" s="1">
        <v>6979414.1100000003</v>
      </c>
      <c r="J576" s="1" t="s">
        <v>2147</v>
      </c>
      <c r="K576" s="1">
        <v>58</v>
      </c>
    </row>
    <row r="577" spans="1:11" x14ac:dyDescent="0.3">
      <c r="A577" s="1" t="s">
        <v>2148</v>
      </c>
      <c r="B577" s="1" t="s">
        <v>2149</v>
      </c>
      <c r="C577" s="1" t="s">
        <v>2150</v>
      </c>
      <c r="D577" s="1">
        <v>91676631</v>
      </c>
      <c r="E577" s="1">
        <v>1300000</v>
      </c>
      <c r="F577" s="1">
        <v>4179</v>
      </c>
      <c r="G577" s="1">
        <v>653</v>
      </c>
      <c r="H577" s="1">
        <v>1.4226000000000001</v>
      </c>
      <c r="I577" s="1">
        <v>140393</v>
      </c>
      <c r="J577" s="1" t="s">
        <v>2151</v>
      </c>
      <c r="K577" s="1">
        <v>0</v>
      </c>
    </row>
    <row r="578" spans="1:11" x14ac:dyDescent="0.3">
      <c r="A578" s="1" t="s">
        <v>2152</v>
      </c>
      <c r="B578" s="1" t="s">
        <v>2153</v>
      </c>
      <c r="C578" s="1" t="s">
        <v>1488</v>
      </c>
      <c r="D578" s="1">
        <v>326195</v>
      </c>
      <c r="E578" s="1">
        <v>11000</v>
      </c>
      <c r="F578" s="1">
        <v>70</v>
      </c>
      <c r="G578" s="1">
        <v>11</v>
      </c>
      <c r="H578" s="1">
        <v>3.3936999999999999</v>
      </c>
      <c r="I578" s="1">
        <v>29654.09</v>
      </c>
      <c r="J578" s="1" t="s">
        <v>2154</v>
      </c>
      <c r="K578" s="1">
        <v>0</v>
      </c>
    </row>
    <row r="579" spans="1:11" x14ac:dyDescent="0.3">
      <c r="A579" s="1" t="s">
        <v>2155</v>
      </c>
      <c r="B579" s="1" t="s">
        <v>2156</v>
      </c>
      <c r="C579" s="1" t="s">
        <v>1387</v>
      </c>
      <c r="D579" s="1">
        <v>1885094</v>
      </c>
      <c r="E579" s="1">
        <v>77000</v>
      </c>
      <c r="F579" s="1">
        <v>1740</v>
      </c>
      <c r="G579" s="1">
        <v>6</v>
      </c>
      <c r="H579" s="1">
        <v>4.1769999999999996</v>
      </c>
      <c r="I579" s="1">
        <v>314182.33</v>
      </c>
      <c r="J579" s="1" t="s">
        <v>2157</v>
      </c>
      <c r="K579" s="1">
        <v>0</v>
      </c>
    </row>
    <row r="580" spans="1:11" x14ac:dyDescent="0.3">
      <c r="A580" s="1" t="s">
        <v>2158</v>
      </c>
      <c r="B580" s="1" t="s">
        <v>2159</v>
      </c>
      <c r="C580" s="1" t="s">
        <v>360</v>
      </c>
      <c r="D580" s="1">
        <v>4292381</v>
      </c>
      <c r="E580" s="1">
        <v>0</v>
      </c>
      <c r="F580" s="1">
        <v>10</v>
      </c>
      <c r="G580" s="1">
        <v>8</v>
      </c>
      <c r="H580" s="1">
        <v>2.0000000000000001E-4</v>
      </c>
      <c r="I580" s="1">
        <v>536547.62</v>
      </c>
      <c r="J580" s="1" t="s">
        <v>2160</v>
      </c>
      <c r="K580" s="1">
        <v>67</v>
      </c>
    </row>
    <row r="581" spans="1:11" x14ac:dyDescent="0.3">
      <c r="A581" s="1" t="s">
        <v>2161</v>
      </c>
      <c r="B581" s="1" t="s">
        <v>2162</v>
      </c>
      <c r="C581" s="1" t="s">
        <v>2163</v>
      </c>
      <c r="D581" s="1">
        <v>369674</v>
      </c>
      <c r="E581" s="1">
        <v>4100</v>
      </c>
      <c r="F581" s="1">
        <v>20</v>
      </c>
      <c r="G581" s="1">
        <v>6</v>
      </c>
      <c r="H581" s="1">
        <v>1.1145</v>
      </c>
      <c r="I581" s="1">
        <v>61612.33</v>
      </c>
      <c r="J581" s="1" t="s">
        <v>2164</v>
      </c>
      <c r="K581" s="1">
        <v>0</v>
      </c>
    </row>
    <row r="582" spans="1:11" x14ac:dyDescent="0.3">
      <c r="A582" s="1" t="s">
        <v>2165</v>
      </c>
      <c r="B582" s="1" t="s">
        <v>2166</v>
      </c>
      <c r="C582" s="1" t="s">
        <v>2167</v>
      </c>
      <c r="D582" s="1">
        <v>1494229</v>
      </c>
      <c r="E582" s="1">
        <v>69000</v>
      </c>
      <c r="F582" s="1">
        <v>1528</v>
      </c>
      <c r="G582" s="1">
        <v>12</v>
      </c>
      <c r="H582" s="1">
        <v>4.72</v>
      </c>
      <c r="I582" s="1">
        <v>124519.08</v>
      </c>
      <c r="J582" s="1" t="s">
        <v>2168</v>
      </c>
      <c r="K582" s="1">
        <v>40</v>
      </c>
    </row>
    <row r="583" spans="1:11" x14ac:dyDescent="0.3">
      <c r="A583" s="1" t="s">
        <v>2169</v>
      </c>
      <c r="B583" s="1" t="s">
        <v>2170</v>
      </c>
      <c r="C583" s="1" t="s">
        <v>2171</v>
      </c>
      <c r="D583" s="1">
        <v>321177201</v>
      </c>
      <c r="E583" s="1">
        <v>2500000</v>
      </c>
      <c r="F583" s="1">
        <v>4270</v>
      </c>
      <c r="G583" s="1">
        <v>1121</v>
      </c>
      <c r="H583" s="1">
        <v>0.77969999999999995</v>
      </c>
      <c r="I583" s="1">
        <v>286509.55</v>
      </c>
      <c r="J583" s="1" t="s">
        <v>2172</v>
      </c>
      <c r="K583" s="1">
        <v>34</v>
      </c>
    </row>
    <row r="584" spans="1:11" x14ac:dyDescent="0.3">
      <c r="A584" s="1" t="s">
        <v>2173</v>
      </c>
      <c r="B584" s="1" t="s">
        <v>2174</v>
      </c>
      <c r="C584" s="1" t="s">
        <v>2175</v>
      </c>
      <c r="D584" s="1">
        <v>156883873</v>
      </c>
      <c r="E584" s="1">
        <v>937000</v>
      </c>
      <c r="F584" s="1">
        <v>17145</v>
      </c>
      <c r="G584" s="1">
        <v>390</v>
      </c>
      <c r="H584" s="1">
        <v>0.60819999999999996</v>
      </c>
      <c r="I584" s="1">
        <v>402266.34</v>
      </c>
      <c r="J584" s="1" t="s">
        <v>2176</v>
      </c>
      <c r="K584" s="1">
        <v>0</v>
      </c>
    </row>
    <row r="585" spans="1:11" x14ac:dyDescent="0.3">
      <c r="A585" s="1" t="s">
        <v>2177</v>
      </c>
      <c r="B585" s="1" t="s">
        <v>2178</v>
      </c>
      <c r="C585" s="1" t="s">
        <v>336</v>
      </c>
      <c r="D585" s="1">
        <v>7518032</v>
      </c>
      <c r="E585" s="1">
        <v>0</v>
      </c>
      <c r="F585" s="1">
        <v>680</v>
      </c>
      <c r="G585" s="1">
        <v>541</v>
      </c>
      <c r="H585" s="1">
        <v>8.9999999999999993E-3</v>
      </c>
      <c r="I585" s="1">
        <v>13896.55</v>
      </c>
      <c r="J585" s="1" t="s">
        <v>2179</v>
      </c>
      <c r="K585" s="1">
        <v>130</v>
      </c>
    </row>
    <row r="586" spans="1:11" x14ac:dyDescent="0.3">
      <c r="A586" s="1" t="s">
        <v>2180</v>
      </c>
      <c r="B586" s="1" t="s">
        <v>2181</v>
      </c>
      <c r="C586" s="1" t="s">
        <v>146</v>
      </c>
      <c r="D586" s="1">
        <v>805390</v>
      </c>
      <c r="E586" s="1">
        <v>8800</v>
      </c>
      <c r="F586" s="1">
        <v>137</v>
      </c>
      <c r="G586" s="1">
        <v>17</v>
      </c>
      <c r="H586" s="1">
        <v>1.1095999999999999</v>
      </c>
      <c r="I586" s="1">
        <v>47375.88</v>
      </c>
      <c r="J586" s="1" t="s">
        <v>2182</v>
      </c>
      <c r="K586" s="1">
        <v>0</v>
      </c>
    </row>
    <row r="587" spans="1:11" x14ac:dyDescent="0.3">
      <c r="A587" s="1" t="s">
        <v>2183</v>
      </c>
      <c r="B587" s="1" t="s">
        <v>2184</v>
      </c>
      <c r="C587" s="1" t="s">
        <v>2185</v>
      </c>
      <c r="D587" s="1">
        <v>5672378</v>
      </c>
      <c r="E587" s="1">
        <v>206000</v>
      </c>
      <c r="F587" s="1">
        <v>2166</v>
      </c>
      <c r="G587" s="1">
        <v>174</v>
      </c>
      <c r="H587" s="1">
        <v>3.6698</v>
      </c>
      <c r="I587" s="1">
        <v>32599.87</v>
      </c>
      <c r="J587" s="1" t="s">
        <v>2186</v>
      </c>
      <c r="K587" s="1">
        <v>0</v>
      </c>
    </row>
    <row r="588" spans="1:11" x14ac:dyDescent="0.3">
      <c r="A588" s="1" t="s">
        <v>2187</v>
      </c>
      <c r="B588" s="1" t="s">
        <v>2188</v>
      </c>
      <c r="C588" s="1" t="s">
        <v>2189</v>
      </c>
      <c r="D588" s="1">
        <v>374659</v>
      </c>
      <c r="E588" s="1">
        <v>16000</v>
      </c>
      <c r="F588" s="1">
        <v>87</v>
      </c>
      <c r="G588" s="1">
        <v>4</v>
      </c>
      <c r="H588" s="1">
        <v>4.2938000000000001</v>
      </c>
      <c r="I588" s="1">
        <v>93664.75</v>
      </c>
      <c r="J588" s="1" t="s">
        <v>2190</v>
      </c>
      <c r="K588" s="1">
        <v>0</v>
      </c>
    </row>
    <row r="589" spans="1:11" x14ac:dyDescent="0.3">
      <c r="A589" s="1" t="s">
        <v>2191</v>
      </c>
      <c r="B589" s="1" t="s">
        <v>2192</v>
      </c>
      <c r="C589" s="1" t="s">
        <v>2193</v>
      </c>
      <c r="D589" s="1">
        <v>1557117</v>
      </c>
      <c r="E589" s="1">
        <v>22000</v>
      </c>
      <c r="F589" s="1">
        <v>40</v>
      </c>
      <c r="G589" s="1">
        <v>4</v>
      </c>
      <c r="H589" s="1">
        <v>1.4154</v>
      </c>
      <c r="I589" s="1">
        <v>389279.25</v>
      </c>
      <c r="J589" s="1" t="s">
        <v>2194</v>
      </c>
      <c r="K589" s="1">
        <v>0</v>
      </c>
    </row>
    <row r="590" spans="1:11" x14ac:dyDescent="0.3">
      <c r="A590" s="1" t="s">
        <v>2195</v>
      </c>
      <c r="B590" s="1" t="s">
        <v>2196</v>
      </c>
      <c r="C590" s="1" t="s">
        <v>2197</v>
      </c>
      <c r="D590" s="1">
        <v>3762943</v>
      </c>
      <c r="E590" s="1">
        <v>48000</v>
      </c>
      <c r="F590" s="1">
        <v>92</v>
      </c>
      <c r="G590" s="1">
        <v>6</v>
      </c>
      <c r="H590" s="1">
        <v>1.278</v>
      </c>
      <c r="I590" s="1">
        <v>627157.17000000004</v>
      </c>
      <c r="J590" s="1" t="s">
        <v>2198</v>
      </c>
      <c r="K590" s="1">
        <v>0</v>
      </c>
    </row>
    <row r="591" spans="1:11" x14ac:dyDescent="0.3">
      <c r="A591" s="1" t="s">
        <v>2199</v>
      </c>
      <c r="B591" s="1" t="s">
        <v>2200</v>
      </c>
      <c r="C591" s="1" t="s">
        <v>2201</v>
      </c>
      <c r="D591" s="1">
        <v>359013</v>
      </c>
      <c r="E591" s="1">
        <v>0</v>
      </c>
      <c r="F591" s="1">
        <v>16</v>
      </c>
      <c r="G591" s="1">
        <v>3</v>
      </c>
      <c r="H591" s="1">
        <v>4.4999999999999997E-3</v>
      </c>
      <c r="I591" s="1">
        <v>119671</v>
      </c>
      <c r="J591" s="1" t="s">
        <v>2202</v>
      </c>
      <c r="K591" s="1">
        <v>1121</v>
      </c>
    </row>
    <row r="592" spans="1:11" x14ac:dyDescent="0.3">
      <c r="A592" s="1" t="s">
        <v>2203</v>
      </c>
      <c r="B592" s="1" t="s">
        <v>2204</v>
      </c>
      <c r="C592" s="1" t="s">
        <v>1465</v>
      </c>
      <c r="D592" s="1">
        <v>1502409</v>
      </c>
      <c r="E592" s="1">
        <v>15000</v>
      </c>
      <c r="F592" s="1">
        <v>463</v>
      </c>
      <c r="G592" s="1">
        <v>7</v>
      </c>
      <c r="H592" s="1">
        <v>1.0291999999999999</v>
      </c>
      <c r="I592" s="1">
        <v>214629.86</v>
      </c>
      <c r="J592" s="1" t="s">
        <v>2205</v>
      </c>
      <c r="K592" s="1">
        <v>0</v>
      </c>
    </row>
    <row r="593" spans="1:11" x14ac:dyDescent="0.3">
      <c r="A593" s="1" t="s">
        <v>2206</v>
      </c>
      <c r="B593" s="1" t="s">
        <v>2207</v>
      </c>
      <c r="C593" s="1" t="s">
        <v>1419</v>
      </c>
      <c r="D593" s="1">
        <v>1790689</v>
      </c>
      <c r="E593" s="1">
        <v>25000</v>
      </c>
      <c r="F593" s="1">
        <v>249</v>
      </c>
      <c r="G593" s="1">
        <v>5</v>
      </c>
      <c r="H593" s="1">
        <v>1.41</v>
      </c>
      <c r="I593" s="1">
        <v>358137.8</v>
      </c>
      <c r="J593" s="1" t="s">
        <v>2208</v>
      </c>
      <c r="K593" s="1">
        <v>865</v>
      </c>
    </row>
    <row r="594" spans="1:11" x14ac:dyDescent="0.3">
      <c r="A594" s="1" t="s">
        <v>2209</v>
      </c>
      <c r="B594" s="1" t="s">
        <v>2210</v>
      </c>
      <c r="C594" s="1" t="s">
        <v>2211</v>
      </c>
      <c r="D594" s="1">
        <v>22951164</v>
      </c>
      <c r="E594" s="1">
        <v>446000</v>
      </c>
      <c r="F594" s="1">
        <v>2006</v>
      </c>
      <c r="G594" s="1">
        <v>374</v>
      </c>
      <c r="H594" s="1">
        <v>1.952</v>
      </c>
      <c r="I594" s="1">
        <v>61366.75</v>
      </c>
      <c r="J594" s="1" t="s">
        <v>2212</v>
      </c>
      <c r="K594" s="1">
        <v>613</v>
      </c>
    </row>
    <row r="595" spans="1:11" x14ac:dyDescent="0.3">
      <c r="A595" s="1" t="s">
        <v>2213</v>
      </c>
      <c r="B595" s="1" t="s">
        <v>2214</v>
      </c>
      <c r="C595" s="1" t="s">
        <v>2215</v>
      </c>
      <c r="D595" s="1">
        <v>281270</v>
      </c>
      <c r="E595" s="1">
        <v>0</v>
      </c>
      <c r="F595" s="1">
        <v>5</v>
      </c>
      <c r="G595" s="1">
        <v>1</v>
      </c>
      <c r="H595" s="1">
        <v>1.8E-3</v>
      </c>
      <c r="I595" s="1">
        <v>281270</v>
      </c>
      <c r="J595" s="1" t="s">
        <v>2216</v>
      </c>
      <c r="K595" s="1">
        <v>55</v>
      </c>
    </row>
    <row r="596" spans="1:11" x14ac:dyDescent="0.3">
      <c r="A596" s="1" t="e">
        <f>-aZDbrbbXTE</f>
        <v>#NAME?</v>
      </c>
      <c r="B596" s="1" t="s">
        <v>2217</v>
      </c>
      <c r="C596" s="1" t="s">
        <v>2218</v>
      </c>
      <c r="D596" s="1">
        <v>2389830</v>
      </c>
      <c r="E596" s="1">
        <v>88000</v>
      </c>
      <c r="F596" s="1">
        <v>18655</v>
      </c>
      <c r="G596" s="1">
        <v>320</v>
      </c>
      <c r="H596" s="1">
        <v>4.4629000000000003</v>
      </c>
      <c r="I596" s="1">
        <v>7468.22</v>
      </c>
      <c r="J596" s="1" t="s">
        <v>2219</v>
      </c>
      <c r="K596" s="1">
        <v>888</v>
      </c>
    </row>
    <row r="597" spans="1:11" x14ac:dyDescent="0.3">
      <c r="A597" s="1" t="s">
        <v>2220</v>
      </c>
      <c r="B597" s="1" t="s">
        <v>2221</v>
      </c>
      <c r="C597" s="1" t="s">
        <v>2222</v>
      </c>
      <c r="D597" s="1">
        <v>31485478</v>
      </c>
      <c r="E597" s="1">
        <v>192000</v>
      </c>
      <c r="F597" s="1">
        <v>407</v>
      </c>
      <c r="G597" s="1">
        <v>307</v>
      </c>
      <c r="H597" s="1">
        <v>0.61109999999999998</v>
      </c>
      <c r="I597" s="1">
        <v>102558.56</v>
      </c>
      <c r="J597" s="1" t="s">
        <v>2223</v>
      </c>
      <c r="K597" s="1">
        <v>0</v>
      </c>
    </row>
    <row r="598" spans="1:11" x14ac:dyDescent="0.3">
      <c r="A598" s="1" t="s">
        <v>2224</v>
      </c>
      <c r="B598" s="1" t="s">
        <v>2225</v>
      </c>
      <c r="C598" s="1" t="s">
        <v>412</v>
      </c>
      <c r="D598" s="1">
        <v>3482</v>
      </c>
      <c r="E598" s="1">
        <v>36</v>
      </c>
      <c r="F598" s="1">
        <v>2</v>
      </c>
      <c r="G598" s="1">
        <v>3941</v>
      </c>
      <c r="H598" s="1">
        <v>1.0912999999999999</v>
      </c>
      <c r="I598" s="1">
        <v>0.88</v>
      </c>
      <c r="J598" s="1" t="s">
        <v>2226</v>
      </c>
      <c r="K598" s="1">
        <v>2512</v>
      </c>
    </row>
    <row r="599" spans="1:11" x14ac:dyDescent="0.3">
      <c r="A599" s="1" t="s">
        <v>2227</v>
      </c>
      <c r="B599" s="1" t="s">
        <v>2228</v>
      </c>
      <c r="C599" s="1" t="s">
        <v>1387</v>
      </c>
      <c r="D599" s="1">
        <v>600282</v>
      </c>
      <c r="E599" s="1">
        <v>20000</v>
      </c>
      <c r="F599" s="1">
        <v>278</v>
      </c>
      <c r="G599" s="1">
        <v>3</v>
      </c>
      <c r="H599" s="1">
        <v>3.3780999999999999</v>
      </c>
      <c r="I599" s="1">
        <v>200094</v>
      </c>
      <c r="J599" s="1" t="s">
        <v>2229</v>
      </c>
      <c r="K599" s="1">
        <v>0</v>
      </c>
    </row>
    <row r="600" spans="1:11" x14ac:dyDescent="0.3">
      <c r="A600" s="1" t="s">
        <v>2230</v>
      </c>
      <c r="B600" s="1" t="s">
        <v>2231</v>
      </c>
      <c r="C600" s="1" t="s">
        <v>1465</v>
      </c>
      <c r="D600" s="1">
        <v>1814232</v>
      </c>
      <c r="E600" s="1">
        <v>26000</v>
      </c>
      <c r="F600" s="1">
        <v>416</v>
      </c>
      <c r="G600" s="1">
        <v>20</v>
      </c>
      <c r="H600" s="1">
        <v>1.456</v>
      </c>
      <c r="I600" s="1">
        <v>90711.6</v>
      </c>
      <c r="J600" s="1" t="s">
        <v>2232</v>
      </c>
      <c r="K600" s="1">
        <v>0</v>
      </c>
    </row>
    <row r="601" spans="1:11" x14ac:dyDescent="0.3">
      <c r="A601" s="1" t="s">
        <v>2233</v>
      </c>
      <c r="B601" s="1" t="s">
        <v>2234</v>
      </c>
      <c r="C601" s="1" t="s">
        <v>122</v>
      </c>
      <c r="D601" s="1">
        <v>202535</v>
      </c>
      <c r="E601" s="1">
        <v>7000</v>
      </c>
      <c r="F601" s="1">
        <v>374</v>
      </c>
      <c r="G601" s="1">
        <v>22</v>
      </c>
      <c r="H601" s="1">
        <v>3.6408999999999998</v>
      </c>
      <c r="I601" s="1">
        <v>9206.14</v>
      </c>
      <c r="J601" s="1" t="s">
        <v>2235</v>
      </c>
      <c r="K601" s="1">
        <v>0</v>
      </c>
    </row>
    <row r="602" spans="1:11" x14ac:dyDescent="0.3">
      <c r="A602" s="1" t="s">
        <v>2236</v>
      </c>
      <c r="B602" s="1" t="s">
        <v>2237</v>
      </c>
      <c r="C602" s="1" t="s">
        <v>2238</v>
      </c>
      <c r="D602" s="1">
        <v>413630</v>
      </c>
      <c r="E602" s="1">
        <v>13000</v>
      </c>
      <c r="F602" s="1">
        <v>1047</v>
      </c>
      <c r="G602" s="1">
        <v>4</v>
      </c>
      <c r="H602" s="1">
        <v>3.3959999999999999</v>
      </c>
      <c r="I602" s="1">
        <v>103407.5</v>
      </c>
      <c r="J602" s="1" t="s">
        <v>2239</v>
      </c>
      <c r="K602" s="1">
        <v>96</v>
      </c>
    </row>
    <row r="603" spans="1:11" x14ac:dyDescent="0.3">
      <c r="A603" s="1" t="s">
        <v>2240</v>
      </c>
      <c r="B603" s="1" t="s">
        <v>2241</v>
      </c>
      <c r="C603" s="1" t="s">
        <v>2073</v>
      </c>
      <c r="D603" s="1">
        <v>211635304</v>
      </c>
      <c r="E603" s="1">
        <v>1100000</v>
      </c>
      <c r="F603" s="1">
        <v>4605</v>
      </c>
      <c r="G603" s="1">
        <v>408</v>
      </c>
      <c r="H603" s="1">
        <v>0.52190000000000003</v>
      </c>
      <c r="I603" s="1">
        <v>518713.98</v>
      </c>
      <c r="J603" s="1" t="s">
        <v>2242</v>
      </c>
      <c r="K603" s="1">
        <v>0</v>
      </c>
    </row>
    <row r="604" spans="1:11" x14ac:dyDescent="0.3">
      <c r="A604" s="1" t="s">
        <v>2243</v>
      </c>
      <c r="B604" s="1" t="s">
        <v>2244</v>
      </c>
      <c r="C604" s="1" t="s">
        <v>2245</v>
      </c>
      <c r="D604" s="1">
        <v>6799795</v>
      </c>
      <c r="E604" s="1">
        <v>95000</v>
      </c>
      <c r="F604" s="1">
        <v>225</v>
      </c>
      <c r="G604" s="1">
        <v>324</v>
      </c>
      <c r="H604" s="1">
        <v>1.4004000000000001</v>
      </c>
      <c r="I604" s="1">
        <v>20987.02</v>
      </c>
      <c r="J604" s="1" t="s">
        <v>2246</v>
      </c>
      <c r="K604" s="1">
        <v>0</v>
      </c>
    </row>
    <row r="605" spans="1:11" x14ac:dyDescent="0.3">
      <c r="A605" s="1" t="s">
        <v>2247</v>
      </c>
      <c r="B605" s="1" t="s">
        <v>2248</v>
      </c>
      <c r="C605" s="1" t="s">
        <v>2249</v>
      </c>
      <c r="D605" s="1">
        <v>1143654</v>
      </c>
      <c r="E605" s="1">
        <v>50000</v>
      </c>
      <c r="F605" s="1">
        <v>693</v>
      </c>
      <c r="G605" s="1">
        <v>4</v>
      </c>
      <c r="H605" s="1">
        <v>4.4325000000000001</v>
      </c>
      <c r="I605" s="1">
        <v>285913.5</v>
      </c>
      <c r="J605" s="1" t="s">
        <v>2250</v>
      </c>
      <c r="K605" s="1">
        <v>166</v>
      </c>
    </row>
    <row r="606" spans="1:11" x14ac:dyDescent="0.3">
      <c r="A606" s="1" t="s">
        <v>2251</v>
      </c>
      <c r="B606" s="1" t="s">
        <v>2252</v>
      </c>
      <c r="C606" s="1" t="s">
        <v>2253</v>
      </c>
      <c r="D606" s="1">
        <v>1014723</v>
      </c>
      <c r="E606" s="1">
        <v>18000</v>
      </c>
      <c r="F606" s="1">
        <v>45</v>
      </c>
      <c r="G606" s="1">
        <v>7</v>
      </c>
      <c r="H606" s="1">
        <v>1.7783</v>
      </c>
      <c r="I606" s="1">
        <v>144960.43</v>
      </c>
      <c r="J606" s="1" t="s">
        <v>2254</v>
      </c>
      <c r="K606" s="1">
        <v>4552</v>
      </c>
    </row>
    <row r="607" spans="1:11" x14ac:dyDescent="0.3">
      <c r="A607" s="1" t="s">
        <v>2255</v>
      </c>
      <c r="B607" s="1" t="s">
        <v>2256</v>
      </c>
      <c r="C607" s="1" t="s">
        <v>2257</v>
      </c>
      <c r="D607" s="1">
        <v>27731832</v>
      </c>
      <c r="E607" s="1">
        <v>216000</v>
      </c>
      <c r="F607" s="1">
        <v>6559</v>
      </c>
      <c r="G607" s="1">
        <v>395</v>
      </c>
      <c r="H607" s="1">
        <v>0.80249999999999999</v>
      </c>
      <c r="I607" s="1">
        <v>70207.17</v>
      </c>
      <c r="J607" s="1" t="s">
        <v>2258</v>
      </c>
      <c r="K607" s="1">
        <v>73</v>
      </c>
    </row>
    <row r="608" spans="1:11" x14ac:dyDescent="0.3">
      <c r="A608" s="1" t="s">
        <v>2259</v>
      </c>
      <c r="B608" s="1" t="s">
        <v>2260</v>
      </c>
      <c r="C608" s="1" t="s">
        <v>360</v>
      </c>
      <c r="D608" s="1">
        <v>45766716</v>
      </c>
      <c r="E608" s="1">
        <v>0</v>
      </c>
      <c r="F608" s="1">
        <v>0</v>
      </c>
      <c r="G608" s="1">
        <v>14</v>
      </c>
      <c r="H608" s="1">
        <v>0</v>
      </c>
      <c r="I608" s="1">
        <v>3269051.14</v>
      </c>
      <c r="J608" s="1" t="s">
        <v>2261</v>
      </c>
      <c r="K608" s="1">
        <v>92</v>
      </c>
    </row>
    <row r="609" spans="1:11" x14ac:dyDescent="0.3">
      <c r="A609" s="1" t="s">
        <v>2262</v>
      </c>
      <c r="B609" s="1" t="s">
        <v>2263</v>
      </c>
      <c r="C609" s="1" t="s">
        <v>2264</v>
      </c>
      <c r="D609" s="1">
        <v>7493042</v>
      </c>
      <c r="E609" s="1">
        <v>203000</v>
      </c>
      <c r="F609" s="1">
        <v>3954</v>
      </c>
      <c r="G609" s="1">
        <v>270</v>
      </c>
      <c r="H609" s="1">
        <v>2.7618999999999998</v>
      </c>
      <c r="I609" s="1">
        <v>27752.01</v>
      </c>
      <c r="J609" s="1" t="s">
        <v>2265</v>
      </c>
      <c r="K609" s="1">
        <v>0</v>
      </c>
    </row>
    <row r="610" spans="1:11" x14ac:dyDescent="0.3">
      <c r="A610" s="1" t="s">
        <v>2266</v>
      </c>
      <c r="B610" s="1" t="s">
        <v>2267</v>
      </c>
      <c r="C610" s="1" t="s">
        <v>2268</v>
      </c>
      <c r="D610" s="1">
        <v>1345702</v>
      </c>
      <c r="E610" s="1">
        <v>20000</v>
      </c>
      <c r="F610" s="1">
        <v>39</v>
      </c>
      <c r="G610" s="1">
        <v>6</v>
      </c>
      <c r="H610" s="1">
        <v>1.4891000000000001</v>
      </c>
      <c r="I610" s="1">
        <v>224283.67</v>
      </c>
      <c r="J610" s="1" t="s">
        <v>2269</v>
      </c>
      <c r="K610" s="1">
        <v>0</v>
      </c>
    </row>
    <row r="611" spans="1:11" x14ac:dyDescent="0.3">
      <c r="A611" s="1" t="s">
        <v>2270</v>
      </c>
      <c r="B611" s="1" t="s">
        <v>2271</v>
      </c>
      <c r="C611" s="1" t="s">
        <v>2272</v>
      </c>
      <c r="D611" s="1">
        <v>50956230</v>
      </c>
      <c r="E611" s="1">
        <v>1000000</v>
      </c>
      <c r="F611" s="1">
        <v>11232</v>
      </c>
      <c r="G611" s="1">
        <v>768</v>
      </c>
      <c r="H611" s="1">
        <v>1.9844999999999999</v>
      </c>
      <c r="I611" s="1">
        <v>66349.259999999995</v>
      </c>
      <c r="J611" s="1" t="s">
        <v>2273</v>
      </c>
      <c r="K611" s="1">
        <v>0</v>
      </c>
    </row>
    <row r="612" spans="1:11" x14ac:dyDescent="0.3">
      <c r="A612" s="1" t="s">
        <v>2274</v>
      </c>
      <c r="B612" s="1" t="s">
        <v>2275</v>
      </c>
      <c r="C612" s="1" t="s">
        <v>2276</v>
      </c>
      <c r="D612" s="1">
        <v>3645097</v>
      </c>
      <c r="E612" s="1">
        <v>29000</v>
      </c>
      <c r="F612" s="1">
        <v>55</v>
      </c>
      <c r="G612" s="1">
        <v>9</v>
      </c>
      <c r="H612" s="1">
        <v>0.79710000000000003</v>
      </c>
      <c r="I612" s="1">
        <v>405010.78</v>
      </c>
      <c r="J612" s="1" t="s">
        <v>2277</v>
      </c>
      <c r="K612" s="1">
        <v>858</v>
      </c>
    </row>
    <row r="613" spans="1:11" x14ac:dyDescent="0.3">
      <c r="A613" s="1" t="s">
        <v>2278</v>
      </c>
      <c r="B613" s="1" t="s">
        <v>2279</v>
      </c>
      <c r="C613" s="1" t="s">
        <v>2280</v>
      </c>
      <c r="D613" s="1">
        <v>5074300</v>
      </c>
      <c r="E613" s="1">
        <v>189000</v>
      </c>
      <c r="F613" s="1">
        <v>1674</v>
      </c>
      <c r="G613" s="1">
        <v>1049</v>
      </c>
      <c r="H613" s="1">
        <v>3.7576000000000001</v>
      </c>
      <c r="I613" s="1">
        <v>4837.2700000000004</v>
      </c>
      <c r="J613" s="1" t="s">
        <v>2281</v>
      </c>
      <c r="K613" s="1">
        <v>0</v>
      </c>
    </row>
    <row r="614" spans="1:11" x14ac:dyDescent="0.3">
      <c r="A614" s="1" t="s">
        <v>2282</v>
      </c>
      <c r="B614" s="1" t="s">
        <v>2283</v>
      </c>
      <c r="C614" s="1" t="s">
        <v>2284</v>
      </c>
      <c r="D614" s="1">
        <v>2861327</v>
      </c>
      <c r="E614" s="1">
        <v>47000</v>
      </c>
      <c r="F614" s="1">
        <v>192</v>
      </c>
      <c r="G614" s="1">
        <v>7</v>
      </c>
      <c r="H614" s="1">
        <v>1.6493</v>
      </c>
      <c r="I614" s="1">
        <v>408761</v>
      </c>
      <c r="J614" s="1" t="s">
        <v>2285</v>
      </c>
      <c r="K614" s="1">
        <v>0</v>
      </c>
    </row>
    <row r="615" spans="1:11" x14ac:dyDescent="0.3">
      <c r="A615" s="1" t="s">
        <v>2286</v>
      </c>
      <c r="B615" s="1" t="s">
        <v>2287</v>
      </c>
      <c r="C615" s="1" t="s">
        <v>2288</v>
      </c>
      <c r="D615" s="1">
        <v>830163</v>
      </c>
      <c r="E615" s="1">
        <v>18000</v>
      </c>
      <c r="F615" s="1">
        <v>134</v>
      </c>
      <c r="G615" s="1">
        <v>7</v>
      </c>
      <c r="H615" s="1">
        <v>2.1844000000000001</v>
      </c>
      <c r="I615" s="1">
        <v>118594.71</v>
      </c>
      <c r="J615" s="1" t="s">
        <v>2289</v>
      </c>
      <c r="K615" s="1">
        <v>500</v>
      </c>
    </row>
    <row r="616" spans="1:11" x14ac:dyDescent="0.3">
      <c r="A616" s="1" t="s">
        <v>2290</v>
      </c>
      <c r="B616" s="1" t="s">
        <v>2291</v>
      </c>
      <c r="C616" s="1" t="s">
        <v>2292</v>
      </c>
      <c r="D616" s="1">
        <v>217495</v>
      </c>
      <c r="E616" s="1">
        <v>1000</v>
      </c>
      <c r="F616" s="1">
        <v>1</v>
      </c>
      <c r="G616" s="1">
        <v>6</v>
      </c>
      <c r="H616" s="1">
        <v>0.4602</v>
      </c>
      <c r="I616" s="1">
        <v>36249.17</v>
      </c>
      <c r="J616" s="1" t="s">
        <v>2293</v>
      </c>
      <c r="K616" s="1">
        <v>0</v>
      </c>
    </row>
    <row r="617" spans="1:11" x14ac:dyDescent="0.3">
      <c r="A617" s="1" t="s">
        <v>2294</v>
      </c>
      <c r="B617" s="1" t="s">
        <v>2295</v>
      </c>
      <c r="C617" s="1" t="s">
        <v>1245</v>
      </c>
      <c r="D617" s="1">
        <v>21406403</v>
      </c>
      <c r="E617" s="1">
        <v>229000</v>
      </c>
      <c r="F617" s="1">
        <v>463</v>
      </c>
      <c r="G617" s="1">
        <v>256</v>
      </c>
      <c r="H617" s="1">
        <v>1.0719000000000001</v>
      </c>
      <c r="I617" s="1">
        <v>83618.759999999995</v>
      </c>
      <c r="J617" s="1" t="s">
        <v>2296</v>
      </c>
      <c r="K617" s="1">
        <v>0</v>
      </c>
    </row>
    <row r="618" spans="1:11" x14ac:dyDescent="0.3">
      <c r="A618" s="1" t="s">
        <v>2297</v>
      </c>
      <c r="B618" s="1" t="s">
        <v>2298</v>
      </c>
      <c r="C618" s="1" t="s">
        <v>2299</v>
      </c>
      <c r="D618" s="1">
        <v>3322799</v>
      </c>
      <c r="E618" s="1">
        <v>28000</v>
      </c>
      <c r="F618" s="1">
        <v>39</v>
      </c>
      <c r="G618" s="1">
        <v>15</v>
      </c>
      <c r="H618" s="1">
        <v>0.84379999999999999</v>
      </c>
      <c r="I618" s="1">
        <v>221519.93</v>
      </c>
      <c r="J618" s="1" t="s">
        <v>2300</v>
      </c>
      <c r="K618" s="1">
        <v>0</v>
      </c>
    </row>
    <row r="619" spans="1:11" x14ac:dyDescent="0.3">
      <c r="A619" s="1" t="s">
        <v>2301</v>
      </c>
      <c r="B619" s="1" t="s">
        <v>2302</v>
      </c>
      <c r="C619" s="1" t="s">
        <v>2303</v>
      </c>
      <c r="D619" s="1">
        <v>7833512</v>
      </c>
      <c r="E619" s="1">
        <v>0</v>
      </c>
      <c r="F619" s="1">
        <v>0</v>
      </c>
      <c r="G619" s="1">
        <v>7</v>
      </c>
      <c r="H619" s="1">
        <v>0</v>
      </c>
      <c r="I619" s="1">
        <v>1119073.1399999999</v>
      </c>
      <c r="J619" s="1" t="s">
        <v>2304</v>
      </c>
      <c r="K619" s="1">
        <v>0</v>
      </c>
    </row>
    <row r="620" spans="1:11" x14ac:dyDescent="0.3">
      <c r="A620" s="1" t="s">
        <v>2305</v>
      </c>
      <c r="B620" s="1" t="s">
        <v>2306</v>
      </c>
      <c r="C620" s="1" t="s">
        <v>2307</v>
      </c>
      <c r="D620" s="1">
        <v>3448976</v>
      </c>
      <c r="E620" s="1">
        <v>61000</v>
      </c>
      <c r="F620" s="1">
        <v>0</v>
      </c>
      <c r="G620" s="1">
        <v>16</v>
      </c>
      <c r="H620" s="1">
        <v>1.7685999999999999</v>
      </c>
      <c r="I620" s="1">
        <v>215561</v>
      </c>
      <c r="J620" s="1" t="s">
        <v>2308</v>
      </c>
      <c r="K620" s="1">
        <v>708</v>
      </c>
    </row>
    <row r="621" spans="1:11" x14ac:dyDescent="0.3">
      <c r="A621" s="1" t="s">
        <v>2309</v>
      </c>
      <c r="B621" s="1" t="s">
        <v>2310</v>
      </c>
      <c r="C621" s="1" t="s">
        <v>2062</v>
      </c>
      <c r="D621" s="1">
        <v>119774016</v>
      </c>
      <c r="E621" s="1">
        <v>1300000</v>
      </c>
      <c r="F621" s="1">
        <v>6711</v>
      </c>
      <c r="G621" s="1">
        <v>17</v>
      </c>
      <c r="H621" s="1">
        <v>1.091</v>
      </c>
      <c r="I621" s="1">
        <v>7045530.3499999996</v>
      </c>
      <c r="J621" s="1" t="s">
        <v>2311</v>
      </c>
      <c r="K621" s="1">
        <v>28</v>
      </c>
    </row>
    <row r="622" spans="1:11" x14ac:dyDescent="0.3">
      <c r="A622" s="1" t="s">
        <v>2312</v>
      </c>
      <c r="B622" s="1" t="s">
        <v>2313</v>
      </c>
      <c r="C622" s="1" t="s">
        <v>2314</v>
      </c>
      <c r="D622" s="1">
        <v>765805</v>
      </c>
      <c r="E622" s="1">
        <v>14000</v>
      </c>
      <c r="F622" s="1">
        <v>55</v>
      </c>
      <c r="G622" s="1">
        <v>6</v>
      </c>
      <c r="H622" s="1">
        <v>1.8352999999999999</v>
      </c>
      <c r="I622" s="1">
        <v>127634.17</v>
      </c>
      <c r="J622" s="1" t="s">
        <v>2315</v>
      </c>
      <c r="K622" s="1">
        <v>0</v>
      </c>
    </row>
    <row r="623" spans="1:11" x14ac:dyDescent="0.3">
      <c r="A623" s="1" t="s">
        <v>2316</v>
      </c>
      <c r="B623" s="1" t="s">
        <v>2317</v>
      </c>
      <c r="C623" s="1" t="s">
        <v>340</v>
      </c>
      <c r="D623" s="1">
        <v>8878067</v>
      </c>
      <c r="E623" s="1">
        <v>104000</v>
      </c>
      <c r="F623" s="1">
        <v>40</v>
      </c>
      <c r="G623" s="1">
        <v>398</v>
      </c>
      <c r="H623" s="1">
        <v>1.1718999999999999</v>
      </c>
      <c r="I623" s="1">
        <v>22306.7</v>
      </c>
      <c r="J623" s="1" t="s">
        <v>2318</v>
      </c>
      <c r="K623" s="1">
        <v>0</v>
      </c>
    </row>
    <row r="624" spans="1:11" x14ac:dyDescent="0.3">
      <c r="A624" s="1" t="s">
        <v>2319</v>
      </c>
      <c r="B624" s="1" t="s">
        <v>2320</v>
      </c>
      <c r="C624" s="1" t="s">
        <v>2321</v>
      </c>
      <c r="D624" s="1">
        <v>7035544</v>
      </c>
      <c r="E624" s="1">
        <v>26000</v>
      </c>
      <c r="F624" s="1">
        <v>0</v>
      </c>
      <c r="G624" s="1">
        <v>11</v>
      </c>
      <c r="H624" s="1">
        <v>0.36959999999999998</v>
      </c>
      <c r="I624" s="1">
        <v>639594.91</v>
      </c>
      <c r="J624" s="1" t="s">
        <v>2322</v>
      </c>
      <c r="K624" s="1">
        <v>0</v>
      </c>
    </row>
    <row r="625" spans="1:11" x14ac:dyDescent="0.3">
      <c r="A625" s="1" t="s">
        <v>2323</v>
      </c>
      <c r="B625" s="1" t="s">
        <v>2324</v>
      </c>
      <c r="C625" s="1" t="s">
        <v>2325</v>
      </c>
      <c r="D625" s="1">
        <v>96246</v>
      </c>
      <c r="E625" s="1">
        <v>3700</v>
      </c>
      <c r="F625" s="1">
        <v>18</v>
      </c>
      <c r="G625" s="1">
        <v>5</v>
      </c>
      <c r="H625" s="1">
        <v>3.863</v>
      </c>
      <c r="I625" s="1">
        <v>19249.2</v>
      </c>
      <c r="J625" s="1" t="s">
        <v>2326</v>
      </c>
      <c r="K625" s="1">
        <v>77</v>
      </c>
    </row>
    <row r="626" spans="1:11" x14ac:dyDescent="0.3">
      <c r="A626" s="1" t="s">
        <v>2327</v>
      </c>
      <c r="B626" s="1" t="s">
        <v>2328</v>
      </c>
      <c r="C626" s="1" t="s">
        <v>2329</v>
      </c>
      <c r="D626" s="1">
        <v>2007258</v>
      </c>
      <c r="E626" s="1">
        <v>11000</v>
      </c>
      <c r="F626" s="1">
        <v>97</v>
      </c>
      <c r="G626" s="1">
        <v>6</v>
      </c>
      <c r="H626" s="1">
        <v>0.55279999999999996</v>
      </c>
      <c r="I626" s="1">
        <v>334543</v>
      </c>
      <c r="J626" s="1" t="s">
        <v>2330</v>
      </c>
      <c r="K626" s="1">
        <v>631</v>
      </c>
    </row>
    <row r="627" spans="1:11" x14ac:dyDescent="0.3">
      <c r="A627" s="1" t="s">
        <v>2331</v>
      </c>
      <c r="B627" s="1" t="s">
        <v>2332</v>
      </c>
      <c r="C627" s="1" t="s">
        <v>1886</v>
      </c>
      <c r="D627" s="1">
        <v>130483</v>
      </c>
      <c r="E627" s="1">
        <v>811</v>
      </c>
      <c r="F627" s="1">
        <v>1</v>
      </c>
      <c r="G627" s="1">
        <v>6</v>
      </c>
      <c r="H627" s="1">
        <v>0.62229999999999996</v>
      </c>
      <c r="I627" s="1">
        <v>21747.17</v>
      </c>
      <c r="J627" s="1" t="s">
        <v>2333</v>
      </c>
      <c r="K627" s="1">
        <v>0</v>
      </c>
    </row>
    <row r="628" spans="1:11" x14ac:dyDescent="0.3">
      <c r="A628" s="1" t="s">
        <v>2334</v>
      </c>
      <c r="B628" s="1" t="s">
        <v>2335</v>
      </c>
      <c r="C628" s="1" t="s">
        <v>2336</v>
      </c>
      <c r="D628" s="1">
        <v>942455</v>
      </c>
      <c r="E628" s="1">
        <v>7700</v>
      </c>
      <c r="F628" s="1">
        <v>0</v>
      </c>
      <c r="G628" s="1">
        <v>9</v>
      </c>
      <c r="H628" s="1">
        <v>0.81699999999999995</v>
      </c>
      <c r="I628" s="1">
        <v>104717.22</v>
      </c>
      <c r="J628" s="1" t="s">
        <v>2337</v>
      </c>
      <c r="K628" s="1">
        <v>210</v>
      </c>
    </row>
    <row r="629" spans="1:11" x14ac:dyDescent="0.3">
      <c r="A629" s="1" t="s">
        <v>2338</v>
      </c>
      <c r="B629" s="1" t="s">
        <v>2339</v>
      </c>
      <c r="C629" s="1" t="s">
        <v>2340</v>
      </c>
      <c r="D629" s="1">
        <v>177041</v>
      </c>
      <c r="E629" s="1">
        <v>3300</v>
      </c>
      <c r="F629" s="1">
        <v>7</v>
      </c>
      <c r="G629" s="1">
        <v>11</v>
      </c>
      <c r="H629" s="1">
        <v>1.8678999999999999</v>
      </c>
      <c r="I629" s="1">
        <v>16094.64</v>
      </c>
      <c r="J629" s="1" t="s">
        <v>2341</v>
      </c>
      <c r="K629" s="1">
        <v>0</v>
      </c>
    </row>
    <row r="630" spans="1:11" x14ac:dyDescent="0.3">
      <c r="A630" s="1" t="s">
        <v>2342</v>
      </c>
      <c r="B630" s="1" t="s">
        <v>2343</v>
      </c>
      <c r="C630" s="1" t="s">
        <v>1407</v>
      </c>
      <c r="D630" s="1">
        <v>471482731</v>
      </c>
      <c r="E630" s="1">
        <v>4100000</v>
      </c>
      <c r="F630" s="1">
        <v>0</v>
      </c>
      <c r="G630" s="1">
        <v>237</v>
      </c>
      <c r="H630" s="1">
        <v>0.86960000000000004</v>
      </c>
      <c r="I630" s="1">
        <v>1989378.61</v>
      </c>
      <c r="J630" s="1" t="s">
        <v>2344</v>
      </c>
      <c r="K630" s="1">
        <v>25</v>
      </c>
    </row>
    <row r="631" spans="1:11" x14ac:dyDescent="0.3">
      <c r="A631" s="1" t="s">
        <v>2345</v>
      </c>
      <c r="B631" s="1" t="s">
        <v>2346</v>
      </c>
      <c r="C631" s="1" t="s">
        <v>1995</v>
      </c>
      <c r="D631" s="1">
        <v>843862</v>
      </c>
      <c r="E631" s="1">
        <v>23000</v>
      </c>
      <c r="F631" s="1">
        <v>129</v>
      </c>
      <c r="G631" s="1">
        <v>19</v>
      </c>
      <c r="H631" s="1">
        <v>2.7408999999999999</v>
      </c>
      <c r="I631" s="1">
        <v>44413.79</v>
      </c>
      <c r="J631" s="1" t="s">
        <v>2347</v>
      </c>
      <c r="K631" s="1">
        <v>0</v>
      </c>
    </row>
    <row r="632" spans="1:11" x14ac:dyDescent="0.3">
      <c r="A632" s="1" t="s">
        <v>2348</v>
      </c>
      <c r="B632" s="1" t="s">
        <v>2349</v>
      </c>
      <c r="C632" s="1" t="s">
        <v>1419</v>
      </c>
      <c r="D632" s="1">
        <v>1687898</v>
      </c>
      <c r="E632" s="1">
        <v>33000</v>
      </c>
      <c r="F632" s="1">
        <v>563</v>
      </c>
      <c r="G632" s="1">
        <v>8</v>
      </c>
      <c r="H632" s="1">
        <v>1.9883999999999999</v>
      </c>
      <c r="I632" s="1">
        <v>210987.25</v>
      </c>
      <c r="J632" s="1" t="s">
        <v>2350</v>
      </c>
      <c r="K632" s="1">
        <v>861</v>
      </c>
    </row>
    <row r="633" spans="1:11" x14ac:dyDescent="0.3">
      <c r="A633" s="1" t="s">
        <v>2351</v>
      </c>
      <c r="B633" s="1" t="s">
        <v>2352</v>
      </c>
      <c r="C633" s="1" t="s">
        <v>2353</v>
      </c>
      <c r="D633" s="1">
        <v>88275</v>
      </c>
      <c r="E633" s="1">
        <v>1000</v>
      </c>
      <c r="F633" s="1">
        <v>11</v>
      </c>
      <c r="G633" s="1">
        <v>181</v>
      </c>
      <c r="H633" s="1">
        <v>1.1453</v>
      </c>
      <c r="I633" s="1">
        <v>487.71</v>
      </c>
      <c r="J633" s="1" t="s">
        <v>2354</v>
      </c>
      <c r="K633" s="1">
        <v>49</v>
      </c>
    </row>
    <row r="634" spans="1:11" x14ac:dyDescent="0.3">
      <c r="A634" s="1" t="s">
        <v>2355</v>
      </c>
      <c r="B634" s="1" t="s">
        <v>2356</v>
      </c>
      <c r="C634" s="1" t="s">
        <v>2357</v>
      </c>
      <c r="D634" s="1">
        <v>12557883</v>
      </c>
      <c r="E634" s="1">
        <v>105000</v>
      </c>
      <c r="F634" s="1">
        <v>88</v>
      </c>
      <c r="G634" s="1">
        <v>263</v>
      </c>
      <c r="H634" s="1">
        <v>0.83679999999999999</v>
      </c>
      <c r="I634" s="1">
        <v>47748.6</v>
      </c>
      <c r="J634" s="1" t="s">
        <v>2358</v>
      </c>
      <c r="K634" s="1">
        <v>81</v>
      </c>
    </row>
    <row r="635" spans="1:11" x14ac:dyDescent="0.3">
      <c r="A635" s="1" t="s">
        <v>2359</v>
      </c>
      <c r="B635" s="1" t="s">
        <v>2360</v>
      </c>
      <c r="C635" s="1" t="s">
        <v>2361</v>
      </c>
      <c r="D635" s="1">
        <v>3024</v>
      </c>
      <c r="E635" s="1">
        <v>76</v>
      </c>
      <c r="F635" s="1">
        <v>1</v>
      </c>
      <c r="G635" s="1">
        <v>1</v>
      </c>
      <c r="H635" s="1">
        <v>2.5463</v>
      </c>
      <c r="I635" s="1">
        <v>3024</v>
      </c>
      <c r="J635" s="1" t="s">
        <v>2362</v>
      </c>
      <c r="K635" s="1">
        <v>178</v>
      </c>
    </row>
    <row r="636" spans="1:11" x14ac:dyDescent="0.3">
      <c r="A636" s="1" t="s">
        <v>2363</v>
      </c>
      <c r="B636" s="1" t="s">
        <v>2364</v>
      </c>
      <c r="C636" s="1" t="s">
        <v>2365</v>
      </c>
      <c r="D636" s="1">
        <v>10881774</v>
      </c>
      <c r="E636" s="1">
        <v>193000</v>
      </c>
      <c r="F636" s="1">
        <v>10228</v>
      </c>
      <c r="G636" s="1">
        <v>163</v>
      </c>
      <c r="H636" s="1">
        <v>1.8675999999999999</v>
      </c>
      <c r="I636" s="1">
        <v>66759.350000000006</v>
      </c>
      <c r="J636" s="1" t="s">
        <v>2366</v>
      </c>
      <c r="K636" s="1">
        <v>111</v>
      </c>
    </row>
    <row r="637" spans="1:11" x14ac:dyDescent="0.3">
      <c r="A637" s="1" t="s">
        <v>2367</v>
      </c>
      <c r="B637" s="1" t="s">
        <v>2368</v>
      </c>
      <c r="C637" s="1" t="s">
        <v>2369</v>
      </c>
      <c r="D637" s="1">
        <v>342155</v>
      </c>
      <c r="E637" s="1">
        <v>7000</v>
      </c>
      <c r="F637" s="1">
        <v>82</v>
      </c>
      <c r="G637" s="1">
        <v>6</v>
      </c>
      <c r="H637" s="1">
        <v>2.0697999999999999</v>
      </c>
      <c r="I637" s="1">
        <v>57025.83</v>
      </c>
      <c r="J637" s="1" t="s">
        <v>2370</v>
      </c>
      <c r="K637" s="1">
        <v>0</v>
      </c>
    </row>
    <row r="638" spans="1:11" x14ac:dyDescent="0.3">
      <c r="A638" s="1" t="s">
        <v>2371</v>
      </c>
      <c r="B638" s="1" t="s">
        <v>2372</v>
      </c>
      <c r="C638" s="1" t="s">
        <v>1291</v>
      </c>
      <c r="D638" s="1">
        <v>5027781</v>
      </c>
      <c r="E638" s="1">
        <v>113000</v>
      </c>
      <c r="F638" s="1">
        <v>717</v>
      </c>
      <c r="G638" s="1">
        <v>7</v>
      </c>
      <c r="H638" s="1">
        <v>2.2618</v>
      </c>
      <c r="I638" s="1">
        <v>718254.43</v>
      </c>
      <c r="J638" s="1" t="s">
        <v>2373</v>
      </c>
      <c r="K638" s="1">
        <v>0</v>
      </c>
    </row>
    <row r="639" spans="1:11" x14ac:dyDescent="0.3">
      <c r="A639" s="1" t="s">
        <v>2374</v>
      </c>
      <c r="B639" s="1" t="s">
        <v>2375</v>
      </c>
      <c r="C639" s="1" t="s">
        <v>2376</v>
      </c>
      <c r="D639" s="1">
        <v>36989730</v>
      </c>
      <c r="E639" s="1">
        <v>0</v>
      </c>
      <c r="F639" s="1">
        <v>259</v>
      </c>
      <c r="G639" s="1">
        <v>995</v>
      </c>
      <c r="H639" s="1">
        <v>6.9999999999999999E-4</v>
      </c>
      <c r="I639" s="1">
        <v>37175.61</v>
      </c>
      <c r="J639" s="1" t="s">
        <v>2377</v>
      </c>
      <c r="K639" s="1">
        <v>7</v>
      </c>
    </row>
    <row r="640" spans="1:11" x14ac:dyDescent="0.3">
      <c r="A640" s="1" t="s">
        <v>2378</v>
      </c>
      <c r="B640" s="1" t="s">
        <v>2379</v>
      </c>
      <c r="C640" s="1" t="s">
        <v>2380</v>
      </c>
      <c r="D640" s="1">
        <v>1183745</v>
      </c>
      <c r="E640" s="1">
        <v>36000</v>
      </c>
      <c r="F640" s="1">
        <v>279</v>
      </c>
      <c r="G640" s="1">
        <v>6</v>
      </c>
      <c r="H640" s="1">
        <v>3.0648</v>
      </c>
      <c r="I640" s="1">
        <v>197290.83</v>
      </c>
      <c r="J640" s="1" t="s">
        <v>2381</v>
      </c>
      <c r="K640" s="1">
        <v>83</v>
      </c>
    </row>
    <row r="641" spans="1:11" x14ac:dyDescent="0.3">
      <c r="A641" s="1" t="s">
        <v>2382</v>
      </c>
      <c r="B641" s="1" t="s">
        <v>2383</v>
      </c>
      <c r="C641" s="1" t="s">
        <v>1662</v>
      </c>
      <c r="D641" s="1">
        <v>182433</v>
      </c>
      <c r="E641" s="1">
        <v>1900</v>
      </c>
      <c r="F641" s="1">
        <v>240</v>
      </c>
      <c r="G641" s="1">
        <v>11</v>
      </c>
      <c r="H641" s="1">
        <v>1.173</v>
      </c>
      <c r="I641" s="1">
        <v>16584.82</v>
      </c>
      <c r="J641" s="1" t="s">
        <v>2384</v>
      </c>
      <c r="K641" s="1">
        <v>1163</v>
      </c>
    </row>
    <row r="642" spans="1:11" x14ac:dyDescent="0.3">
      <c r="A642" s="1" t="s">
        <v>2385</v>
      </c>
      <c r="B642" s="1" t="s">
        <v>2386</v>
      </c>
      <c r="C642" s="1" t="s">
        <v>1379</v>
      </c>
      <c r="D642" s="1">
        <v>1589037</v>
      </c>
      <c r="E642" s="1">
        <v>74000</v>
      </c>
      <c r="F642" s="1">
        <v>420</v>
      </c>
      <c r="G642" s="1">
        <v>23</v>
      </c>
      <c r="H642" s="1">
        <v>4.6833</v>
      </c>
      <c r="I642" s="1">
        <v>69088.570000000007</v>
      </c>
      <c r="J642" s="1" t="s">
        <v>2387</v>
      </c>
      <c r="K642" s="1">
        <v>63</v>
      </c>
    </row>
    <row r="643" spans="1:11" x14ac:dyDescent="0.3">
      <c r="A643" s="1" t="s">
        <v>2388</v>
      </c>
      <c r="B643" s="1" t="s">
        <v>2389</v>
      </c>
      <c r="C643" s="1" t="s">
        <v>2390</v>
      </c>
      <c r="D643" s="1">
        <v>3565053</v>
      </c>
      <c r="E643" s="1">
        <v>28000</v>
      </c>
      <c r="F643" s="1">
        <v>102</v>
      </c>
      <c r="G643" s="1">
        <v>7</v>
      </c>
      <c r="H643" s="1">
        <v>0.7883</v>
      </c>
      <c r="I643" s="1">
        <v>509293.29</v>
      </c>
      <c r="J643" s="1" t="s">
        <v>2391</v>
      </c>
      <c r="K643" s="1">
        <v>131</v>
      </c>
    </row>
    <row r="644" spans="1:11" x14ac:dyDescent="0.3">
      <c r="A644" s="1" t="s">
        <v>2392</v>
      </c>
      <c r="B644" s="1" t="s">
        <v>2393</v>
      </c>
      <c r="C644" s="1" t="s">
        <v>2394</v>
      </c>
      <c r="D644" s="1">
        <v>56143478</v>
      </c>
      <c r="E644" s="1">
        <v>684000</v>
      </c>
      <c r="F644" s="1">
        <v>2002</v>
      </c>
      <c r="G644" s="1">
        <v>425</v>
      </c>
      <c r="H644" s="1">
        <v>1.2219</v>
      </c>
      <c r="I644" s="1">
        <v>132102.29999999999</v>
      </c>
      <c r="J644" s="1" t="s">
        <v>2395</v>
      </c>
      <c r="K644" s="1">
        <v>0</v>
      </c>
    </row>
    <row r="645" spans="1:11" x14ac:dyDescent="0.3">
      <c r="A645" s="1" t="s">
        <v>2396</v>
      </c>
      <c r="B645" s="1" t="s">
        <v>2397</v>
      </c>
      <c r="C645" s="1" t="s">
        <v>1427</v>
      </c>
      <c r="D645" s="1">
        <v>8737925</v>
      </c>
      <c r="E645" s="1">
        <v>84000</v>
      </c>
      <c r="F645" s="1">
        <v>289</v>
      </c>
      <c r="G645" s="1">
        <v>14</v>
      </c>
      <c r="H645" s="1">
        <v>0.96460000000000001</v>
      </c>
      <c r="I645" s="1">
        <v>624137.5</v>
      </c>
      <c r="J645" s="1" t="s">
        <v>2398</v>
      </c>
      <c r="K645" s="1">
        <v>0</v>
      </c>
    </row>
    <row r="646" spans="1:11" x14ac:dyDescent="0.3">
      <c r="A646" s="1" t="s">
        <v>2399</v>
      </c>
      <c r="B646" s="1" t="s">
        <v>2400</v>
      </c>
      <c r="C646" s="1" t="s">
        <v>2299</v>
      </c>
      <c r="D646" s="1">
        <v>988984</v>
      </c>
      <c r="E646" s="1">
        <v>13000</v>
      </c>
      <c r="F646" s="1">
        <v>53</v>
      </c>
      <c r="G646" s="1">
        <v>7</v>
      </c>
      <c r="H646" s="1">
        <v>1.3198000000000001</v>
      </c>
      <c r="I646" s="1">
        <v>141283.43</v>
      </c>
      <c r="J646" s="1" t="s">
        <v>2401</v>
      </c>
      <c r="K646" s="1">
        <v>0</v>
      </c>
    </row>
    <row r="647" spans="1:11" x14ac:dyDescent="0.3">
      <c r="A647" s="1" t="s">
        <v>2402</v>
      </c>
      <c r="B647" s="1" t="s">
        <v>2403</v>
      </c>
      <c r="C647" s="1" t="s">
        <v>2404</v>
      </c>
      <c r="D647" s="1">
        <v>2628015</v>
      </c>
      <c r="E647" s="1">
        <v>19000</v>
      </c>
      <c r="F647" s="1">
        <v>16</v>
      </c>
      <c r="G647" s="1">
        <v>14</v>
      </c>
      <c r="H647" s="1">
        <v>0.72360000000000002</v>
      </c>
      <c r="I647" s="1">
        <v>187715.36</v>
      </c>
      <c r="J647" s="1" t="s">
        <v>2405</v>
      </c>
      <c r="K647" s="1">
        <v>214</v>
      </c>
    </row>
    <row r="648" spans="1:11" x14ac:dyDescent="0.3">
      <c r="A648" s="1" t="s">
        <v>2406</v>
      </c>
      <c r="B648" s="1" t="s">
        <v>2407</v>
      </c>
      <c r="C648" s="1" t="s">
        <v>1359</v>
      </c>
      <c r="D648" s="1">
        <v>100781562</v>
      </c>
      <c r="E648" s="1">
        <v>1300000</v>
      </c>
      <c r="F648" s="1">
        <v>4617</v>
      </c>
      <c r="G648" s="1">
        <v>397</v>
      </c>
      <c r="H648" s="1">
        <v>1.2945</v>
      </c>
      <c r="I648" s="1">
        <v>253857.84</v>
      </c>
      <c r="J648" s="1" t="s">
        <v>2408</v>
      </c>
      <c r="K648" s="1">
        <v>0</v>
      </c>
    </row>
    <row r="649" spans="1:11" x14ac:dyDescent="0.3">
      <c r="A649" s="1" t="s">
        <v>2409</v>
      </c>
      <c r="B649" s="1" t="s">
        <v>2410</v>
      </c>
      <c r="C649" s="1" t="s">
        <v>2163</v>
      </c>
      <c r="D649" s="1">
        <v>303205</v>
      </c>
      <c r="E649" s="1">
        <v>2800</v>
      </c>
      <c r="F649" s="1">
        <v>616</v>
      </c>
      <c r="G649" s="1">
        <v>8</v>
      </c>
      <c r="H649" s="1">
        <v>1.1266</v>
      </c>
      <c r="I649" s="1">
        <v>37900.620000000003</v>
      </c>
      <c r="J649" s="1" t="s">
        <v>2411</v>
      </c>
      <c r="K649" s="1">
        <v>0</v>
      </c>
    </row>
    <row r="650" spans="1:11" x14ac:dyDescent="0.3">
      <c r="A650" s="1" t="s">
        <v>2412</v>
      </c>
      <c r="B650" s="1" t="s">
        <v>2413</v>
      </c>
      <c r="C650" s="1" t="s">
        <v>2414</v>
      </c>
      <c r="D650" s="1">
        <v>1679566</v>
      </c>
      <c r="E650" s="1">
        <v>104000</v>
      </c>
      <c r="F650" s="1">
        <v>721</v>
      </c>
      <c r="G650" s="1">
        <v>9</v>
      </c>
      <c r="H650" s="1">
        <v>6.2350000000000003</v>
      </c>
      <c r="I650" s="1">
        <v>186618.44</v>
      </c>
      <c r="J650" s="1" t="s">
        <v>2415</v>
      </c>
      <c r="K650" s="1">
        <v>199</v>
      </c>
    </row>
    <row r="651" spans="1:11" x14ac:dyDescent="0.3">
      <c r="A651" s="1" t="s">
        <v>2416</v>
      </c>
      <c r="B651" s="1" t="s">
        <v>2417</v>
      </c>
      <c r="C651" s="1" t="s">
        <v>2418</v>
      </c>
      <c r="D651" s="1">
        <v>175719025</v>
      </c>
      <c r="E651" s="1">
        <v>0</v>
      </c>
      <c r="F651" s="1">
        <v>5523</v>
      </c>
      <c r="G651" s="1">
        <v>1235</v>
      </c>
      <c r="H651" s="1">
        <v>3.0999999999999999E-3</v>
      </c>
      <c r="I651" s="1">
        <v>142282.60999999999</v>
      </c>
      <c r="J651" s="1" t="s">
        <v>2419</v>
      </c>
      <c r="K651" s="1">
        <v>243</v>
      </c>
    </row>
    <row r="652" spans="1:11" x14ac:dyDescent="0.3">
      <c r="A652" s="1" t="s">
        <v>2420</v>
      </c>
      <c r="B652" s="1" t="s">
        <v>2421</v>
      </c>
      <c r="C652" s="1" t="s">
        <v>1501</v>
      </c>
      <c r="D652" s="1">
        <v>3447725</v>
      </c>
      <c r="E652" s="1">
        <v>39000</v>
      </c>
      <c r="F652" s="1">
        <v>452</v>
      </c>
      <c r="G652" s="1">
        <v>7</v>
      </c>
      <c r="H652" s="1">
        <v>1.1443000000000001</v>
      </c>
      <c r="I652" s="1">
        <v>492532.14</v>
      </c>
      <c r="J652" s="1" t="s">
        <v>2422</v>
      </c>
      <c r="K652" s="1">
        <v>812</v>
      </c>
    </row>
    <row r="653" spans="1:11" x14ac:dyDescent="0.3">
      <c r="A653" s="1" t="s">
        <v>2423</v>
      </c>
      <c r="B653" s="1" t="s">
        <v>2424</v>
      </c>
      <c r="C653" s="1" t="s">
        <v>2425</v>
      </c>
      <c r="D653" s="1">
        <v>1195483</v>
      </c>
      <c r="E653" s="1">
        <v>42000</v>
      </c>
      <c r="F653" s="1">
        <v>84</v>
      </c>
      <c r="G653" s="1">
        <v>14</v>
      </c>
      <c r="H653" s="1">
        <v>3.5203000000000002</v>
      </c>
      <c r="I653" s="1">
        <v>85391.64</v>
      </c>
      <c r="J653" s="1" t="s">
        <v>2426</v>
      </c>
      <c r="K653" s="1">
        <v>32</v>
      </c>
    </row>
    <row r="654" spans="1:11" x14ac:dyDescent="0.3">
      <c r="A654" s="1" t="s">
        <v>2427</v>
      </c>
      <c r="B654" s="1" t="s">
        <v>2428</v>
      </c>
      <c r="C654" s="1" t="s">
        <v>2429</v>
      </c>
      <c r="D654" s="1">
        <v>15004408</v>
      </c>
      <c r="E654" s="1">
        <v>224000</v>
      </c>
      <c r="F654" s="1">
        <v>357</v>
      </c>
      <c r="G654" s="1">
        <v>199</v>
      </c>
      <c r="H654" s="1">
        <v>1.4953000000000001</v>
      </c>
      <c r="I654" s="1">
        <v>75399.039999999994</v>
      </c>
      <c r="J654" s="1" t="s">
        <v>2430</v>
      </c>
      <c r="K654" s="1">
        <v>0</v>
      </c>
    </row>
    <row r="655" spans="1:11" x14ac:dyDescent="0.3">
      <c r="A655" s="1" t="s">
        <v>2431</v>
      </c>
      <c r="B655" s="1" t="s">
        <v>2432</v>
      </c>
      <c r="C655" s="1" t="s">
        <v>2433</v>
      </c>
      <c r="D655" s="1">
        <v>223664</v>
      </c>
      <c r="E655" s="1">
        <v>1300</v>
      </c>
      <c r="F655" s="1">
        <v>14</v>
      </c>
      <c r="G655" s="1">
        <v>8</v>
      </c>
      <c r="H655" s="1">
        <v>0.58750000000000002</v>
      </c>
      <c r="I655" s="1">
        <v>27958</v>
      </c>
      <c r="J655" s="1" t="s">
        <v>2434</v>
      </c>
      <c r="K655" s="1">
        <v>0</v>
      </c>
    </row>
    <row r="656" spans="1:11" x14ac:dyDescent="0.3">
      <c r="A656" s="1" t="s">
        <v>2435</v>
      </c>
      <c r="B656" s="1" t="s">
        <v>2436</v>
      </c>
      <c r="C656" s="1" t="s">
        <v>2437</v>
      </c>
      <c r="D656" s="1">
        <v>529726</v>
      </c>
      <c r="E656" s="1">
        <v>0</v>
      </c>
      <c r="F656" s="1">
        <v>11</v>
      </c>
      <c r="G656" s="1">
        <v>4</v>
      </c>
      <c r="H656" s="1">
        <v>2.0999999999999999E-3</v>
      </c>
      <c r="I656" s="1">
        <v>132431.5</v>
      </c>
      <c r="J656" s="1" t="s">
        <v>2438</v>
      </c>
      <c r="K656" s="1">
        <v>704</v>
      </c>
    </row>
    <row r="657" spans="1:11" x14ac:dyDescent="0.3">
      <c r="A657" s="1" t="s">
        <v>2439</v>
      </c>
      <c r="B657" s="1" t="s">
        <v>2440</v>
      </c>
      <c r="C657" s="1" t="s">
        <v>2441</v>
      </c>
      <c r="D657" s="1">
        <v>4091931</v>
      </c>
      <c r="E657" s="1">
        <v>41000</v>
      </c>
      <c r="F657" s="1">
        <v>64</v>
      </c>
      <c r="G657" s="1">
        <v>14</v>
      </c>
      <c r="H657" s="1">
        <v>1.0035000000000001</v>
      </c>
      <c r="I657" s="1">
        <v>292280.78999999998</v>
      </c>
      <c r="J657" s="1" t="s">
        <v>2442</v>
      </c>
      <c r="K657" s="1">
        <v>0</v>
      </c>
    </row>
    <row r="658" spans="1:11" x14ac:dyDescent="0.3">
      <c r="A658" s="1" t="s">
        <v>2443</v>
      </c>
      <c r="B658" s="1" t="s">
        <v>2444</v>
      </c>
      <c r="C658" s="1" t="s">
        <v>1594</v>
      </c>
      <c r="D658" s="1">
        <v>51103145</v>
      </c>
      <c r="E658" s="1">
        <v>994000</v>
      </c>
      <c r="F658" s="1">
        <v>2908</v>
      </c>
      <c r="G658" s="1">
        <v>92</v>
      </c>
      <c r="H658" s="1">
        <v>1.9508000000000001</v>
      </c>
      <c r="I658" s="1">
        <v>555468.97</v>
      </c>
      <c r="J658" s="1" t="s">
        <v>2445</v>
      </c>
      <c r="K658" s="1">
        <v>393</v>
      </c>
    </row>
    <row r="659" spans="1:11" x14ac:dyDescent="0.3">
      <c r="A659" s="1" t="s">
        <v>2446</v>
      </c>
      <c r="B659" s="1" t="s">
        <v>2447</v>
      </c>
      <c r="C659" s="1" t="s">
        <v>2448</v>
      </c>
      <c r="D659" s="1">
        <v>1398262</v>
      </c>
      <c r="E659" s="1">
        <v>27000</v>
      </c>
      <c r="F659" s="1">
        <v>123</v>
      </c>
      <c r="G659" s="1">
        <v>8</v>
      </c>
      <c r="H659" s="1">
        <v>1.9398</v>
      </c>
      <c r="I659" s="1">
        <v>174782.75</v>
      </c>
      <c r="J659" s="1" t="s">
        <v>2449</v>
      </c>
      <c r="K659" s="1">
        <v>0</v>
      </c>
    </row>
    <row r="660" spans="1:11" x14ac:dyDescent="0.3">
      <c r="A660" s="1" t="s">
        <v>2450</v>
      </c>
      <c r="B660" s="1" t="s">
        <v>2451</v>
      </c>
      <c r="C660" s="1" t="s">
        <v>2452</v>
      </c>
      <c r="D660" s="1">
        <v>1223390</v>
      </c>
      <c r="E660" s="1">
        <v>24000</v>
      </c>
      <c r="F660" s="1">
        <v>70</v>
      </c>
      <c r="G660" s="1">
        <v>4</v>
      </c>
      <c r="H660" s="1">
        <v>1.9675</v>
      </c>
      <c r="I660" s="1">
        <v>305847.5</v>
      </c>
      <c r="J660" s="1" t="s">
        <v>2453</v>
      </c>
      <c r="K660" s="1">
        <v>0</v>
      </c>
    </row>
    <row r="661" spans="1:11" x14ac:dyDescent="0.3">
      <c r="A661" s="1" t="s">
        <v>2454</v>
      </c>
      <c r="B661" s="1" t="s">
        <v>2455</v>
      </c>
      <c r="C661" s="1" t="s">
        <v>2456</v>
      </c>
      <c r="D661" s="1">
        <v>2792422</v>
      </c>
      <c r="E661" s="1">
        <v>57000</v>
      </c>
      <c r="F661" s="1">
        <v>185</v>
      </c>
      <c r="G661" s="1">
        <v>191</v>
      </c>
      <c r="H661" s="1">
        <v>2.0478999999999998</v>
      </c>
      <c r="I661" s="1">
        <v>14620.01</v>
      </c>
      <c r="J661" s="1" t="s">
        <v>2457</v>
      </c>
      <c r="K661" s="1">
        <v>383</v>
      </c>
    </row>
    <row r="662" spans="1:11" x14ac:dyDescent="0.3">
      <c r="A662" s="1" t="s">
        <v>2458</v>
      </c>
      <c r="B662" s="1" t="s">
        <v>2459</v>
      </c>
      <c r="C662" s="1" t="s">
        <v>2460</v>
      </c>
      <c r="D662" s="1">
        <v>3604550</v>
      </c>
      <c r="E662" s="1">
        <v>67000</v>
      </c>
      <c r="F662" s="1">
        <v>258</v>
      </c>
      <c r="G662" s="1">
        <v>13</v>
      </c>
      <c r="H662" s="1">
        <v>1.8658999999999999</v>
      </c>
      <c r="I662" s="1">
        <v>277273.08</v>
      </c>
      <c r="J662" s="1" t="s">
        <v>2461</v>
      </c>
      <c r="K662" s="1">
        <v>0</v>
      </c>
    </row>
    <row r="663" spans="1:11" x14ac:dyDescent="0.3">
      <c r="A663" s="1" t="s">
        <v>2462</v>
      </c>
      <c r="B663" s="1" t="s">
        <v>2463</v>
      </c>
      <c r="C663" s="1" t="s">
        <v>2464</v>
      </c>
      <c r="D663" s="1">
        <v>5322012</v>
      </c>
      <c r="E663" s="1">
        <v>48000</v>
      </c>
      <c r="F663" s="1">
        <v>239</v>
      </c>
      <c r="G663" s="1">
        <v>156</v>
      </c>
      <c r="H663" s="1">
        <v>0.90639999999999998</v>
      </c>
      <c r="I663" s="1">
        <v>34115.46</v>
      </c>
      <c r="J663" s="1" t="s">
        <v>2465</v>
      </c>
      <c r="K663" s="1">
        <v>0</v>
      </c>
    </row>
    <row r="664" spans="1:11" x14ac:dyDescent="0.3">
      <c r="A664" s="1" t="s">
        <v>2466</v>
      </c>
      <c r="B664" s="1" t="s">
        <v>2467</v>
      </c>
      <c r="C664" s="1" t="s">
        <v>2468</v>
      </c>
      <c r="D664" s="1">
        <v>11458406</v>
      </c>
      <c r="E664" s="1">
        <v>114000</v>
      </c>
      <c r="F664" s="1">
        <v>329</v>
      </c>
      <c r="G664" s="1">
        <v>9</v>
      </c>
      <c r="H664" s="1">
        <v>0.99780000000000002</v>
      </c>
      <c r="I664" s="1">
        <v>1273156.22</v>
      </c>
      <c r="J664" s="1" t="s">
        <v>2469</v>
      </c>
      <c r="K664" s="1">
        <v>0</v>
      </c>
    </row>
    <row r="665" spans="1:11" x14ac:dyDescent="0.3">
      <c r="A665" s="1" t="s">
        <v>2470</v>
      </c>
      <c r="B665" s="1" t="s">
        <v>2471</v>
      </c>
      <c r="C665" s="1" t="s">
        <v>2472</v>
      </c>
      <c r="D665" s="1">
        <v>6762389</v>
      </c>
      <c r="E665" s="1">
        <v>26000</v>
      </c>
      <c r="F665" s="1">
        <v>13</v>
      </c>
      <c r="G665" s="1">
        <v>11</v>
      </c>
      <c r="H665" s="1">
        <v>0.38469999999999999</v>
      </c>
      <c r="I665" s="1">
        <v>614762.64</v>
      </c>
      <c r="J665" s="1" t="s">
        <v>2473</v>
      </c>
      <c r="K665" s="1">
        <v>0</v>
      </c>
    </row>
    <row r="666" spans="1:11" x14ac:dyDescent="0.3">
      <c r="A666" s="1" t="s">
        <v>2474</v>
      </c>
      <c r="B666" s="1" t="s">
        <v>2475</v>
      </c>
      <c r="C666" s="1" t="s">
        <v>2476</v>
      </c>
      <c r="D666" s="1">
        <v>819224</v>
      </c>
      <c r="E666" s="1">
        <v>15000</v>
      </c>
      <c r="F666" s="1">
        <v>112</v>
      </c>
      <c r="G666" s="1">
        <v>9</v>
      </c>
      <c r="H666" s="1">
        <v>1.8447</v>
      </c>
      <c r="I666" s="1">
        <v>91024.89</v>
      </c>
      <c r="J666" s="1" t="s">
        <v>2477</v>
      </c>
      <c r="K666" s="1">
        <v>0</v>
      </c>
    </row>
    <row r="667" spans="1:11" x14ac:dyDescent="0.3">
      <c r="A667" s="1" t="s">
        <v>2478</v>
      </c>
      <c r="B667" s="1" t="s">
        <v>2479</v>
      </c>
      <c r="C667" s="1" t="s">
        <v>126</v>
      </c>
      <c r="D667" s="1">
        <v>532340</v>
      </c>
      <c r="E667" s="1">
        <v>4100</v>
      </c>
      <c r="F667" s="1">
        <v>435</v>
      </c>
      <c r="G667" s="1">
        <v>10</v>
      </c>
      <c r="H667" s="1">
        <v>0.85189999999999999</v>
      </c>
      <c r="I667" s="1">
        <v>53234</v>
      </c>
      <c r="J667" s="1" t="s">
        <v>2480</v>
      </c>
      <c r="K667" s="1">
        <v>0</v>
      </c>
    </row>
    <row r="668" spans="1:11" x14ac:dyDescent="0.3">
      <c r="A668" s="1" t="s">
        <v>2481</v>
      </c>
      <c r="B668" s="1" t="s">
        <v>2482</v>
      </c>
      <c r="C668" s="1" t="s">
        <v>2483</v>
      </c>
      <c r="D668" s="1">
        <v>161006</v>
      </c>
      <c r="E668" s="1">
        <v>6400</v>
      </c>
      <c r="F668" s="1">
        <v>36</v>
      </c>
      <c r="G668" s="1">
        <v>5</v>
      </c>
      <c r="H668" s="1">
        <v>3.9973999999999998</v>
      </c>
      <c r="I668" s="1">
        <v>32201.200000000001</v>
      </c>
      <c r="J668" s="1" t="s">
        <v>2484</v>
      </c>
      <c r="K668" s="1">
        <v>0</v>
      </c>
    </row>
    <row r="669" spans="1:11" x14ac:dyDescent="0.3">
      <c r="A669" s="1" t="s">
        <v>2485</v>
      </c>
      <c r="B669" s="1" t="s">
        <v>2486</v>
      </c>
      <c r="C669" s="1" t="s">
        <v>2487</v>
      </c>
      <c r="D669" s="1">
        <v>22524988</v>
      </c>
      <c r="E669" s="1">
        <v>918000</v>
      </c>
      <c r="F669" s="1">
        <v>2531</v>
      </c>
      <c r="G669" s="1">
        <v>813</v>
      </c>
      <c r="H669" s="1">
        <v>4.0867000000000004</v>
      </c>
      <c r="I669" s="1">
        <v>27706.01</v>
      </c>
      <c r="J669" s="1" t="s">
        <v>2488</v>
      </c>
      <c r="K669" s="1">
        <v>0</v>
      </c>
    </row>
    <row r="670" spans="1:11" x14ac:dyDescent="0.3">
      <c r="A670" s="1" t="s">
        <v>2489</v>
      </c>
      <c r="B670" s="1" t="s">
        <v>2490</v>
      </c>
      <c r="C670" s="1" t="s">
        <v>360</v>
      </c>
      <c r="D670" s="1">
        <v>9036297</v>
      </c>
      <c r="E670" s="1">
        <v>0</v>
      </c>
      <c r="F670" s="1">
        <v>0</v>
      </c>
      <c r="G670" s="1">
        <v>10</v>
      </c>
      <c r="H670" s="1">
        <v>0</v>
      </c>
      <c r="I670" s="1">
        <v>903629.7</v>
      </c>
      <c r="J670" s="1" t="s">
        <v>2491</v>
      </c>
      <c r="K670" s="1">
        <v>70</v>
      </c>
    </row>
    <row r="671" spans="1:11" x14ac:dyDescent="0.3">
      <c r="A671" s="1" t="s">
        <v>2492</v>
      </c>
      <c r="B671" s="1" t="s">
        <v>2493</v>
      </c>
      <c r="C671" s="1" t="s">
        <v>2494</v>
      </c>
      <c r="D671" s="1">
        <v>1699376</v>
      </c>
      <c r="E671" s="1">
        <v>54000</v>
      </c>
      <c r="F671" s="1">
        <v>82</v>
      </c>
      <c r="G671" s="1">
        <v>993</v>
      </c>
      <c r="H671" s="1">
        <v>3.1825000000000001</v>
      </c>
      <c r="I671" s="1">
        <v>1711.36</v>
      </c>
      <c r="J671" s="1" t="s">
        <v>2495</v>
      </c>
      <c r="K671" s="1">
        <v>0</v>
      </c>
    </row>
    <row r="672" spans="1:11" x14ac:dyDescent="0.3">
      <c r="A672" s="1" t="s">
        <v>2496</v>
      </c>
      <c r="B672" s="1" t="s">
        <v>2497</v>
      </c>
      <c r="C672" s="1" t="s">
        <v>2062</v>
      </c>
      <c r="D672" s="1">
        <v>45022497</v>
      </c>
      <c r="E672" s="1">
        <v>474000</v>
      </c>
      <c r="F672" s="1">
        <v>1268</v>
      </c>
      <c r="G672" s="1">
        <v>44</v>
      </c>
      <c r="H672" s="1">
        <v>1.0556000000000001</v>
      </c>
      <c r="I672" s="1">
        <v>1023238.57</v>
      </c>
      <c r="J672" s="1" t="s">
        <v>2498</v>
      </c>
      <c r="K672" s="1">
        <v>32</v>
      </c>
    </row>
    <row r="673" spans="1:11" x14ac:dyDescent="0.3">
      <c r="A673" s="1" t="s">
        <v>2499</v>
      </c>
      <c r="B673" s="1" t="s">
        <v>2500</v>
      </c>
      <c r="C673" s="1" t="s">
        <v>2501</v>
      </c>
      <c r="D673" s="1">
        <v>4690842</v>
      </c>
      <c r="E673" s="1">
        <v>78000</v>
      </c>
      <c r="F673" s="1">
        <v>79</v>
      </c>
      <c r="G673" s="1">
        <v>4</v>
      </c>
      <c r="H673" s="1">
        <v>1.6645000000000001</v>
      </c>
      <c r="I673" s="1">
        <v>1172710.5</v>
      </c>
      <c r="J673" s="1" t="s">
        <v>2502</v>
      </c>
      <c r="K673" s="1">
        <v>0</v>
      </c>
    </row>
    <row r="674" spans="1:11" x14ac:dyDescent="0.3">
      <c r="A674" s="1" t="s">
        <v>2503</v>
      </c>
      <c r="B674" s="1" t="s">
        <v>2504</v>
      </c>
      <c r="C674" s="1" t="s">
        <v>2505</v>
      </c>
      <c r="D674" s="1">
        <v>8782891</v>
      </c>
      <c r="E674" s="1">
        <v>185000</v>
      </c>
      <c r="F674" s="1">
        <v>201</v>
      </c>
      <c r="G674" s="1">
        <v>7</v>
      </c>
      <c r="H674" s="1">
        <v>2.1086999999999998</v>
      </c>
      <c r="I674" s="1">
        <v>1254698.71</v>
      </c>
      <c r="J674" s="1" t="s">
        <v>2506</v>
      </c>
      <c r="K674" s="1">
        <v>0</v>
      </c>
    </row>
    <row r="675" spans="1:11" x14ac:dyDescent="0.3">
      <c r="A675" s="1" t="s">
        <v>2507</v>
      </c>
      <c r="B675" s="1" t="s">
        <v>2508</v>
      </c>
      <c r="C675" s="1" t="s">
        <v>2509</v>
      </c>
      <c r="D675" s="1">
        <v>75008</v>
      </c>
      <c r="E675" s="1">
        <v>3100</v>
      </c>
      <c r="F675" s="1">
        <v>10</v>
      </c>
      <c r="G675" s="1">
        <v>6</v>
      </c>
      <c r="H675" s="1">
        <v>4.1462000000000003</v>
      </c>
      <c r="I675" s="1">
        <v>12501.33</v>
      </c>
      <c r="J675" s="1" t="s">
        <v>2510</v>
      </c>
      <c r="K675" s="1">
        <v>145</v>
      </c>
    </row>
    <row r="676" spans="1:11" x14ac:dyDescent="0.3">
      <c r="A676" s="1" t="s">
        <v>2511</v>
      </c>
      <c r="B676" s="1" t="s">
        <v>2512</v>
      </c>
      <c r="C676" s="1" t="s">
        <v>126</v>
      </c>
      <c r="D676" s="1">
        <v>691448</v>
      </c>
      <c r="E676" s="1">
        <v>5500</v>
      </c>
      <c r="F676" s="1">
        <v>324</v>
      </c>
      <c r="G676" s="1">
        <v>9</v>
      </c>
      <c r="H676" s="1">
        <v>0.84230000000000005</v>
      </c>
      <c r="I676" s="1">
        <v>76827.56</v>
      </c>
      <c r="J676" s="1" t="s">
        <v>2513</v>
      </c>
      <c r="K676" s="1">
        <v>0</v>
      </c>
    </row>
    <row r="677" spans="1:11" x14ac:dyDescent="0.3">
      <c r="A677" s="1" t="s">
        <v>2514</v>
      </c>
      <c r="B677" s="1" t="s">
        <v>2515</v>
      </c>
      <c r="C677" s="1" t="s">
        <v>1457</v>
      </c>
      <c r="D677" s="1">
        <v>58727880</v>
      </c>
      <c r="E677" s="1">
        <v>375000</v>
      </c>
      <c r="F677" s="1">
        <v>102</v>
      </c>
      <c r="G677" s="1">
        <v>19</v>
      </c>
      <c r="H677" s="1">
        <v>0.63870000000000005</v>
      </c>
      <c r="I677" s="1">
        <v>3090941.05</v>
      </c>
      <c r="J677" s="1" t="s">
        <v>2516</v>
      </c>
      <c r="K677" s="1">
        <v>298</v>
      </c>
    </row>
    <row r="678" spans="1:11" x14ac:dyDescent="0.3">
      <c r="A678" s="1" t="s">
        <v>2517</v>
      </c>
      <c r="B678" s="1" t="s">
        <v>2518</v>
      </c>
      <c r="C678" s="1" t="s">
        <v>779</v>
      </c>
      <c r="D678" s="1">
        <v>4364671</v>
      </c>
      <c r="E678" s="1">
        <v>79000</v>
      </c>
      <c r="F678" s="1">
        <v>242</v>
      </c>
      <c r="G678" s="1">
        <v>19</v>
      </c>
      <c r="H678" s="1">
        <v>1.8154999999999999</v>
      </c>
      <c r="I678" s="1">
        <v>229719.53</v>
      </c>
      <c r="J678" s="1" t="s">
        <v>2519</v>
      </c>
      <c r="K678" s="1">
        <v>40</v>
      </c>
    </row>
    <row r="679" spans="1:11" x14ac:dyDescent="0.3">
      <c r="A679" s="1" t="s">
        <v>2520</v>
      </c>
      <c r="B679" s="1" t="s">
        <v>2521</v>
      </c>
      <c r="C679" s="1" t="s">
        <v>2522</v>
      </c>
      <c r="D679" s="1">
        <v>15215258</v>
      </c>
      <c r="E679" s="1">
        <v>138000</v>
      </c>
      <c r="F679" s="1">
        <v>205</v>
      </c>
      <c r="G679" s="1">
        <v>371</v>
      </c>
      <c r="H679" s="1">
        <v>0.9083</v>
      </c>
      <c r="I679" s="1">
        <v>41011.480000000003</v>
      </c>
      <c r="J679" s="1" t="s">
        <v>2523</v>
      </c>
      <c r="K679" s="1">
        <v>75</v>
      </c>
    </row>
    <row r="680" spans="1:11" x14ac:dyDescent="0.3">
      <c r="A680" s="1" t="s">
        <v>2524</v>
      </c>
      <c r="B680" s="1" t="s">
        <v>2525</v>
      </c>
      <c r="C680" s="1" t="s">
        <v>2526</v>
      </c>
      <c r="D680" s="1">
        <v>67795388</v>
      </c>
      <c r="E680" s="1">
        <v>1200000</v>
      </c>
      <c r="F680" s="1">
        <v>0</v>
      </c>
      <c r="G680" s="1">
        <v>1550</v>
      </c>
      <c r="H680" s="1">
        <v>1.77</v>
      </c>
      <c r="I680" s="1">
        <v>43738.96</v>
      </c>
      <c r="J680" s="1" t="s">
        <v>2527</v>
      </c>
      <c r="K680" s="1">
        <v>0</v>
      </c>
    </row>
    <row r="681" spans="1:11" x14ac:dyDescent="0.3">
      <c r="A681" s="1" t="s">
        <v>2528</v>
      </c>
      <c r="B681" s="1" t="s">
        <v>2529</v>
      </c>
      <c r="C681" s="1" t="s">
        <v>2126</v>
      </c>
      <c r="D681" s="1">
        <v>7320456</v>
      </c>
      <c r="E681" s="1">
        <v>137000</v>
      </c>
      <c r="F681" s="1">
        <v>547</v>
      </c>
      <c r="G681" s="1">
        <v>13</v>
      </c>
      <c r="H681" s="1">
        <v>1.8789</v>
      </c>
      <c r="I681" s="1">
        <v>563112</v>
      </c>
      <c r="J681" s="1" t="s">
        <v>2530</v>
      </c>
      <c r="K681" s="1">
        <v>0</v>
      </c>
    </row>
    <row r="682" spans="1:11" x14ac:dyDescent="0.3">
      <c r="A682" s="1" t="s">
        <v>2531</v>
      </c>
      <c r="B682" s="1" t="s">
        <v>2532</v>
      </c>
      <c r="C682" s="1" t="s">
        <v>2533</v>
      </c>
      <c r="D682" s="1">
        <v>28196646</v>
      </c>
      <c r="E682" s="1">
        <v>291000</v>
      </c>
      <c r="F682" s="1">
        <v>501</v>
      </c>
      <c r="G682" s="1">
        <v>17</v>
      </c>
      <c r="H682" s="1">
        <v>1.0338000000000001</v>
      </c>
      <c r="I682" s="1">
        <v>1658626.24</v>
      </c>
      <c r="J682" s="1" t="s">
        <v>2534</v>
      </c>
      <c r="K682" s="1">
        <v>79</v>
      </c>
    </row>
    <row r="683" spans="1:11" x14ac:dyDescent="0.3">
      <c r="A683" s="1" t="s">
        <v>2535</v>
      </c>
      <c r="B683" s="1" t="s">
        <v>2536</v>
      </c>
      <c r="C683" s="1" t="s">
        <v>2537</v>
      </c>
      <c r="D683" s="1">
        <v>461842</v>
      </c>
      <c r="E683" s="1">
        <v>18000</v>
      </c>
      <c r="F683" s="1">
        <v>156</v>
      </c>
      <c r="G683" s="1">
        <v>6</v>
      </c>
      <c r="H683" s="1">
        <v>3.9312</v>
      </c>
      <c r="I683" s="1">
        <v>76973.67</v>
      </c>
      <c r="J683" s="1" t="s">
        <v>2538</v>
      </c>
      <c r="K683" s="1">
        <v>1084</v>
      </c>
    </row>
    <row r="684" spans="1:11" x14ac:dyDescent="0.3">
      <c r="A684" s="1" t="s">
        <v>2539</v>
      </c>
      <c r="B684" s="1" t="s">
        <v>2540</v>
      </c>
      <c r="C684" s="1" t="s">
        <v>320</v>
      </c>
      <c r="D684" s="1">
        <v>1082739</v>
      </c>
      <c r="E684" s="1">
        <v>19000</v>
      </c>
      <c r="F684" s="1">
        <v>587</v>
      </c>
      <c r="G684" s="1">
        <v>13</v>
      </c>
      <c r="H684" s="1">
        <v>1.8089999999999999</v>
      </c>
      <c r="I684" s="1">
        <v>83287.62</v>
      </c>
      <c r="J684" s="1" t="s">
        <v>2541</v>
      </c>
      <c r="K684" s="1">
        <v>0</v>
      </c>
    </row>
    <row r="685" spans="1:11" x14ac:dyDescent="0.3">
      <c r="A685" s="1" t="s">
        <v>2542</v>
      </c>
      <c r="B685" s="1" t="s">
        <v>2543</v>
      </c>
      <c r="C685" s="1" t="s">
        <v>2544</v>
      </c>
      <c r="D685" s="1">
        <v>54642458</v>
      </c>
      <c r="E685" s="1">
        <v>905000</v>
      </c>
      <c r="F685" s="1">
        <v>2941</v>
      </c>
      <c r="G685" s="1">
        <v>246</v>
      </c>
      <c r="H685" s="1">
        <v>1.6616</v>
      </c>
      <c r="I685" s="1">
        <v>222123.81</v>
      </c>
      <c r="J685" s="1" t="s">
        <v>2545</v>
      </c>
      <c r="K685" s="1">
        <v>39</v>
      </c>
    </row>
    <row r="686" spans="1:11" x14ac:dyDescent="0.3">
      <c r="A686" s="1" t="s">
        <v>2546</v>
      </c>
      <c r="B686" s="1" t="s">
        <v>2547</v>
      </c>
      <c r="C686" s="1" t="s">
        <v>126</v>
      </c>
      <c r="D686" s="1">
        <v>1472881</v>
      </c>
      <c r="E686" s="1">
        <v>8100</v>
      </c>
      <c r="F686" s="1">
        <v>249</v>
      </c>
      <c r="G686" s="1">
        <v>8</v>
      </c>
      <c r="H686" s="1">
        <v>0.56679999999999997</v>
      </c>
      <c r="I686" s="1">
        <v>184110.12</v>
      </c>
      <c r="J686" s="1" t="s">
        <v>2548</v>
      </c>
      <c r="K686" s="1">
        <v>0</v>
      </c>
    </row>
    <row r="687" spans="1:11" x14ac:dyDescent="0.3">
      <c r="A687" s="1" t="s">
        <v>2549</v>
      </c>
      <c r="B687" s="1" t="s">
        <v>2550</v>
      </c>
      <c r="C687" s="1" t="s">
        <v>188</v>
      </c>
      <c r="D687" s="1">
        <v>41086310</v>
      </c>
      <c r="E687" s="1">
        <v>649000</v>
      </c>
      <c r="F687" s="1">
        <v>1241</v>
      </c>
      <c r="G687" s="1">
        <v>25</v>
      </c>
      <c r="H687" s="1">
        <v>1.5826</v>
      </c>
      <c r="I687" s="1">
        <v>1643452.4</v>
      </c>
      <c r="J687" s="1" t="s">
        <v>2551</v>
      </c>
      <c r="K687" s="1">
        <v>39</v>
      </c>
    </row>
    <row r="688" spans="1:11" x14ac:dyDescent="0.3">
      <c r="A688" s="1" t="s">
        <v>2552</v>
      </c>
      <c r="B688" s="1" t="s">
        <v>2553</v>
      </c>
      <c r="C688" s="1" t="s">
        <v>2554</v>
      </c>
      <c r="D688" s="1">
        <v>41899666</v>
      </c>
      <c r="E688" s="1">
        <v>668000</v>
      </c>
      <c r="F688" s="1">
        <v>1964</v>
      </c>
      <c r="G688" s="1">
        <v>154</v>
      </c>
      <c r="H688" s="1">
        <v>1.599</v>
      </c>
      <c r="I688" s="1">
        <v>272075.75</v>
      </c>
      <c r="J688" s="1" t="s">
        <v>2555</v>
      </c>
      <c r="K688" s="1">
        <v>94</v>
      </c>
    </row>
    <row r="689" spans="1:11" x14ac:dyDescent="0.3">
      <c r="A689" s="1" t="s">
        <v>2556</v>
      </c>
      <c r="B689" s="1" t="s">
        <v>2557</v>
      </c>
      <c r="C689" s="1" t="s">
        <v>2558</v>
      </c>
      <c r="D689" s="1">
        <v>712455</v>
      </c>
      <c r="E689" s="1">
        <v>17000</v>
      </c>
      <c r="F689" s="1">
        <v>77</v>
      </c>
      <c r="G689" s="1">
        <v>19</v>
      </c>
      <c r="H689" s="1">
        <v>2.3969</v>
      </c>
      <c r="I689" s="1">
        <v>37497.629999999997</v>
      </c>
      <c r="J689" s="1" t="s">
        <v>2559</v>
      </c>
      <c r="K689" s="1">
        <v>61</v>
      </c>
    </row>
    <row r="690" spans="1:11" x14ac:dyDescent="0.3">
      <c r="A690" s="1" t="s">
        <v>2560</v>
      </c>
      <c r="B690" s="1" t="s">
        <v>2561</v>
      </c>
      <c r="C690" s="1" t="s">
        <v>2562</v>
      </c>
      <c r="D690" s="1">
        <v>3240561</v>
      </c>
      <c r="E690" s="1">
        <v>110000</v>
      </c>
      <c r="F690" s="1">
        <v>469</v>
      </c>
      <c r="G690" s="1">
        <v>519</v>
      </c>
      <c r="H690" s="1">
        <v>3.4089</v>
      </c>
      <c r="I690" s="1">
        <v>6243.86</v>
      </c>
      <c r="J690" s="1" t="s">
        <v>2563</v>
      </c>
      <c r="K690" s="1">
        <v>366</v>
      </c>
    </row>
    <row r="691" spans="1:11" x14ac:dyDescent="0.3">
      <c r="A691" s="1" t="s">
        <v>2564</v>
      </c>
      <c r="B691" s="1" t="s">
        <v>2565</v>
      </c>
      <c r="C691" s="1" t="s">
        <v>2566</v>
      </c>
      <c r="D691" s="1">
        <v>3835699</v>
      </c>
      <c r="E691" s="1">
        <v>16000</v>
      </c>
      <c r="F691" s="1">
        <v>40</v>
      </c>
      <c r="G691" s="1">
        <v>18</v>
      </c>
      <c r="H691" s="1">
        <v>0.41820000000000002</v>
      </c>
      <c r="I691" s="1">
        <v>213094.39</v>
      </c>
      <c r="J691" s="1" t="s">
        <v>2567</v>
      </c>
      <c r="K691" s="1">
        <v>0</v>
      </c>
    </row>
    <row r="692" spans="1:11" x14ac:dyDescent="0.3">
      <c r="A692" s="1" t="s">
        <v>2568</v>
      </c>
      <c r="B692" s="1" t="s">
        <v>2569</v>
      </c>
      <c r="C692" s="1" t="s">
        <v>2570</v>
      </c>
      <c r="D692" s="1">
        <v>10864120</v>
      </c>
      <c r="E692" s="1">
        <v>423000</v>
      </c>
      <c r="F692" s="1">
        <v>3706</v>
      </c>
      <c r="G692" s="1">
        <v>547</v>
      </c>
      <c r="H692" s="1">
        <v>3.9277000000000002</v>
      </c>
      <c r="I692" s="1">
        <v>19861.28</v>
      </c>
      <c r="J692" s="1" t="s">
        <v>2571</v>
      </c>
      <c r="K692" s="1">
        <v>164</v>
      </c>
    </row>
    <row r="693" spans="1:11" x14ac:dyDescent="0.3">
      <c r="A693" s="1" t="s">
        <v>2572</v>
      </c>
      <c r="B693" s="1" t="s">
        <v>2573</v>
      </c>
      <c r="C693" s="1" t="s">
        <v>188</v>
      </c>
      <c r="D693" s="1">
        <v>9708715</v>
      </c>
      <c r="E693" s="1">
        <v>195000</v>
      </c>
      <c r="F693" s="1">
        <v>1272</v>
      </c>
      <c r="G693" s="1">
        <v>19</v>
      </c>
      <c r="H693" s="1">
        <v>2.0215999999999998</v>
      </c>
      <c r="I693" s="1">
        <v>510985</v>
      </c>
      <c r="J693" s="1" t="s">
        <v>2574</v>
      </c>
      <c r="K693" s="1">
        <v>32</v>
      </c>
    </row>
    <row r="694" spans="1:11" x14ac:dyDescent="0.3">
      <c r="A694" s="1" t="s">
        <v>2575</v>
      </c>
      <c r="B694" s="1" t="s">
        <v>2576</v>
      </c>
      <c r="C694" s="1" t="s">
        <v>1427</v>
      </c>
      <c r="D694" s="1">
        <v>21615136</v>
      </c>
      <c r="E694" s="1">
        <v>174000</v>
      </c>
      <c r="F694" s="1">
        <v>214</v>
      </c>
      <c r="G694" s="1">
        <v>21</v>
      </c>
      <c r="H694" s="1">
        <v>0.80600000000000005</v>
      </c>
      <c r="I694" s="1">
        <v>1029292.19</v>
      </c>
      <c r="J694" s="1" t="s">
        <v>2577</v>
      </c>
      <c r="K694" s="1">
        <v>0</v>
      </c>
    </row>
    <row r="695" spans="1:11" x14ac:dyDescent="0.3">
      <c r="A695" s="1" t="s">
        <v>2578</v>
      </c>
      <c r="B695" s="1" t="s">
        <v>2579</v>
      </c>
      <c r="C695" s="1" t="s">
        <v>2580</v>
      </c>
      <c r="D695" s="1">
        <v>2422154</v>
      </c>
      <c r="E695" s="1">
        <v>40000</v>
      </c>
      <c r="F695" s="1">
        <v>1399</v>
      </c>
      <c r="G695" s="1">
        <v>720</v>
      </c>
      <c r="H695" s="1">
        <v>1.7092000000000001</v>
      </c>
      <c r="I695" s="1">
        <v>3364.1</v>
      </c>
      <c r="J695" s="1" t="s">
        <v>2581</v>
      </c>
      <c r="K695" s="1">
        <v>0</v>
      </c>
    </row>
    <row r="696" spans="1:11" x14ac:dyDescent="0.3">
      <c r="A696" s="1" t="s">
        <v>2582</v>
      </c>
      <c r="B696" s="1" t="s">
        <v>2583</v>
      </c>
      <c r="C696" s="1" t="s">
        <v>184</v>
      </c>
      <c r="D696" s="1">
        <v>919102</v>
      </c>
      <c r="E696" s="1">
        <v>17000</v>
      </c>
      <c r="F696" s="1">
        <v>172</v>
      </c>
      <c r="G696" s="1">
        <v>16</v>
      </c>
      <c r="H696" s="1">
        <v>1.8683000000000001</v>
      </c>
      <c r="I696" s="1">
        <v>57443.88</v>
      </c>
      <c r="J696" s="1" t="s">
        <v>2584</v>
      </c>
      <c r="K696" s="1">
        <v>521</v>
      </c>
    </row>
    <row r="697" spans="1:11" x14ac:dyDescent="0.3">
      <c r="A697" s="1" t="s">
        <v>2585</v>
      </c>
      <c r="B697" s="1" t="s">
        <v>2586</v>
      </c>
      <c r="C697" s="1" t="s">
        <v>1419</v>
      </c>
      <c r="D697" s="1">
        <v>2206602</v>
      </c>
      <c r="E697" s="1">
        <v>40000</v>
      </c>
      <c r="F697" s="1">
        <v>404</v>
      </c>
      <c r="G697" s="1">
        <v>9</v>
      </c>
      <c r="H697" s="1">
        <v>1.8310999999999999</v>
      </c>
      <c r="I697" s="1">
        <v>245178</v>
      </c>
      <c r="J697" s="1" t="s">
        <v>2587</v>
      </c>
      <c r="K697" s="1">
        <v>885</v>
      </c>
    </row>
    <row r="698" spans="1:11" x14ac:dyDescent="0.3">
      <c r="A698" s="1" t="s">
        <v>2588</v>
      </c>
      <c r="B698" s="1" t="s">
        <v>2589</v>
      </c>
      <c r="C698" s="1" t="s">
        <v>2590</v>
      </c>
      <c r="D698" s="1">
        <v>861604</v>
      </c>
      <c r="E698" s="1">
        <v>20000</v>
      </c>
      <c r="F698" s="1">
        <v>777</v>
      </c>
      <c r="G698" s="1">
        <v>4</v>
      </c>
      <c r="H698" s="1">
        <v>2.4114</v>
      </c>
      <c r="I698" s="1">
        <v>215401</v>
      </c>
      <c r="J698" s="1" t="s">
        <v>2591</v>
      </c>
      <c r="K698" s="1">
        <v>0</v>
      </c>
    </row>
    <row r="699" spans="1:11" x14ac:dyDescent="0.3">
      <c r="A699" s="1" t="s">
        <v>2592</v>
      </c>
      <c r="B699" s="1" t="s">
        <v>2593</v>
      </c>
      <c r="C699" s="1" t="s">
        <v>2594</v>
      </c>
      <c r="D699" s="1">
        <v>684043</v>
      </c>
      <c r="E699" s="1">
        <v>4800</v>
      </c>
      <c r="F699" s="1">
        <v>8</v>
      </c>
      <c r="G699" s="1">
        <v>6</v>
      </c>
      <c r="H699" s="1">
        <v>0.70289999999999997</v>
      </c>
      <c r="I699" s="1">
        <v>114007.17</v>
      </c>
      <c r="J699" s="1" t="s">
        <v>2595</v>
      </c>
      <c r="K699" s="1">
        <v>273</v>
      </c>
    </row>
    <row r="700" spans="1:11" x14ac:dyDescent="0.3">
      <c r="A700" s="1" t="s">
        <v>2596</v>
      </c>
      <c r="B700" s="1" t="s">
        <v>2597</v>
      </c>
      <c r="C700" s="1" t="s">
        <v>2598</v>
      </c>
      <c r="D700" s="1">
        <v>3067529</v>
      </c>
      <c r="E700" s="1">
        <v>26000</v>
      </c>
      <c r="F700" s="1">
        <v>410</v>
      </c>
      <c r="G700" s="1">
        <v>994</v>
      </c>
      <c r="H700" s="1">
        <v>0.86099999999999999</v>
      </c>
      <c r="I700" s="1">
        <v>3086.05</v>
      </c>
      <c r="J700" s="1" t="s">
        <v>2599</v>
      </c>
      <c r="K700" s="1">
        <v>0</v>
      </c>
    </row>
    <row r="701" spans="1:11" x14ac:dyDescent="0.3">
      <c r="A701" s="1" t="s">
        <v>2600</v>
      </c>
      <c r="B701" s="1" t="s">
        <v>2601</v>
      </c>
      <c r="C701" s="1" t="s">
        <v>2602</v>
      </c>
      <c r="D701" s="1">
        <v>3057784</v>
      </c>
      <c r="E701" s="1">
        <v>86000</v>
      </c>
      <c r="F701" s="1">
        <v>1741</v>
      </c>
      <c r="G701" s="1">
        <v>28</v>
      </c>
      <c r="H701" s="1">
        <v>2.8694000000000002</v>
      </c>
      <c r="I701" s="1">
        <v>109206.57</v>
      </c>
      <c r="J701" s="1" t="s">
        <v>2603</v>
      </c>
      <c r="K701" s="1">
        <v>370</v>
      </c>
    </row>
    <row r="702" spans="1:11" x14ac:dyDescent="0.3">
      <c r="A702" s="1" t="s">
        <v>2604</v>
      </c>
      <c r="B702" s="1" t="s">
        <v>2605</v>
      </c>
      <c r="C702" s="1" t="s">
        <v>188</v>
      </c>
      <c r="D702" s="1">
        <v>32923915</v>
      </c>
      <c r="E702" s="1">
        <v>559000</v>
      </c>
      <c r="F702" s="1">
        <v>1509</v>
      </c>
      <c r="G702" s="1">
        <v>223</v>
      </c>
      <c r="H702" s="1">
        <v>1.7023999999999999</v>
      </c>
      <c r="I702" s="1">
        <v>147640.87</v>
      </c>
      <c r="J702" s="1" t="s">
        <v>2606</v>
      </c>
      <c r="K702" s="1">
        <v>35</v>
      </c>
    </row>
    <row r="703" spans="1:11" x14ac:dyDescent="0.3">
      <c r="A703" s="1" t="s">
        <v>2607</v>
      </c>
      <c r="B703" s="1" t="s">
        <v>2608</v>
      </c>
      <c r="C703" s="1" t="s">
        <v>2609</v>
      </c>
      <c r="D703" s="1">
        <v>6852368</v>
      </c>
      <c r="E703" s="1">
        <v>213000</v>
      </c>
      <c r="F703" s="1">
        <v>144</v>
      </c>
      <c r="G703" s="1">
        <v>151</v>
      </c>
      <c r="H703" s="1">
        <v>3.1105</v>
      </c>
      <c r="I703" s="1">
        <v>45379.92</v>
      </c>
      <c r="J703" s="1" t="s">
        <v>2610</v>
      </c>
      <c r="K703" s="1">
        <v>0</v>
      </c>
    </row>
    <row r="704" spans="1:11" x14ac:dyDescent="0.3">
      <c r="A704" s="1" t="s">
        <v>2611</v>
      </c>
      <c r="B704" s="1" t="s">
        <v>2612</v>
      </c>
      <c r="C704" s="1" t="s">
        <v>2613</v>
      </c>
      <c r="D704" s="1">
        <v>298371</v>
      </c>
      <c r="E704" s="1">
        <v>5100</v>
      </c>
      <c r="F704" s="1">
        <v>55</v>
      </c>
      <c r="G704" s="1">
        <v>17</v>
      </c>
      <c r="H704" s="1">
        <v>1.7277</v>
      </c>
      <c r="I704" s="1">
        <v>17551.240000000002</v>
      </c>
      <c r="J704" s="1" t="s">
        <v>2614</v>
      </c>
      <c r="K704" s="1">
        <v>0</v>
      </c>
    </row>
    <row r="705" spans="1:11" x14ac:dyDescent="0.3">
      <c r="A705" s="1" t="s">
        <v>2615</v>
      </c>
      <c r="B705" s="1" t="s">
        <v>2616</v>
      </c>
      <c r="C705" s="1" t="s">
        <v>2617</v>
      </c>
      <c r="D705" s="1">
        <v>1834117</v>
      </c>
      <c r="E705" s="1">
        <v>19000</v>
      </c>
      <c r="F705" s="1">
        <v>197</v>
      </c>
      <c r="G705" s="1">
        <v>52</v>
      </c>
      <c r="H705" s="1">
        <v>1.0467</v>
      </c>
      <c r="I705" s="1">
        <v>35271.480000000003</v>
      </c>
      <c r="J705" s="1" t="s">
        <v>2618</v>
      </c>
      <c r="K705" s="1">
        <v>0</v>
      </c>
    </row>
    <row r="706" spans="1:11" x14ac:dyDescent="0.3">
      <c r="A706" s="1" t="s">
        <v>2619</v>
      </c>
      <c r="B706" s="1" t="s">
        <v>2620</v>
      </c>
      <c r="C706" s="1" t="s">
        <v>2621</v>
      </c>
      <c r="D706" s="1">
        <v>4877517</v>
      </c>
      <c r="E706" s="1">
        <v>56000</v>
      </c>
      <c r="F706" s="1">
        <v>871</v>
      </c>
      <c r="G706" s="1">
        <v>4</v>
      </c>
      <c r="H706" s="1">
        <v>1.1659999999999999</v>
      </c>
      <c r="I706" s="1">
        <v>1219379.25</v>
      </c>
      <c r="J706" s="1" t="s">
        <v>2622</v>
      </c>
      <c r="K706" s="1">
        <v>0</v>
      </c>
    </row>
    <row r="707" spans="1:11" x14ac:dyDescent="0.3">
      <c r="A707" s="1" t="s">
        <v>2623</v>
      </c>
      <c r="B707" s="1" t="s">
        <v>2624</v>
      </c>
      <c r="C707" s="1" t="s">
        <v>52</v>
      </c>
      <c r="D707" s="1">
        <v>4409967</v>
      </c>
      <c r="E707" s="1">
        <v>83000</v>
      </c>
      <c r="F707" s="1">
        <v>2148</v>
      </c>
      <c r="G707" s="1">
        <v>1</v>
      </c>
      <c r="H707" s="1">
        <v>1.9308000000000001</v>
      </c>
      <c r="I707" s="1">
        <v>4409967</v>
      </c>
      <c r="J707" s="1" t="s">
        <v>2625</v>
      </c>
      <c r="K707" s="1">
        <v>221</v>
      </c>
    </row>
    <row r="708" spans="1:11" x14ac:dyDescent="0.3">
      <c r="A708" s="1" t="s">
        <v>2626</v>
      </c>
      <c r="B708" s="1" t="s">
        <v>2627</v>
      </c>
      <c r="C708" s="1" t="s">
        <v>2570</v>
      </c>
      <c r="D708" s="1">
        <v>23183633</v>
      </c>
      <c r="E708" s="1">
        <v>977000</v>
      </c>
      <c r="F708" s="1">
        <v>6964</v>
      </c>
      <c r="G708" s="1">
        <v>700</v>
      </c>
      <c r="H708" s="1">
        <v>4.2442000000000002</v>
      </c>
      <c r="I708" s="1">
        <v>33119.480000000003</v>
      </c>
      <c r="J708" s="1" t="s">
        <v>2628</v>
      </c>
      <c r="K708" s="1">
        <v>125</v>
      </c>
    </row>
    <row r="709" spans="1:11" x14ac:dyDescent="0.3">
      <c r="A709" s="1" t="s">
        <v>2629</v>
      </c>
      <c r="B709" s="1" t="s">
        <v>2630</v>
      </c>
      <c r="C709" s="1" t="s">
        <v>2280</v>
      </c>
      <c r="D709" s="1">
        <v>11993883</v>
      </c>
      <c r="E709" s="1">
        <v>242000</v>
      </c>
      <c r="F709" s="1">
        <v>0</v>
      </c>
      <c r="G709" s="1">
        <v>794</v>
      </c>
      <c r="H709" s="1">
        <v>2.0177</v>
      </c>
      <c r="I709" s="1">
        <v>15105.65</v>
      </c>
      <c r="J709" s="1" t="s">
        <v>2631</v>
      </c>
      <c r="K709" s="1">
        <v>0</v>
      </c>
    </row>
    <row r="710" spans="1:11" x14ac:dyDescent="0.3">
      <c r="A710" s="1" t="s">
        <v>2632</v>
      </c>
      <c r="B710" s="1" t="s">
        <v>2633</v>
      </c>
      <c r="C710" s="1" t="s">
        <v>2634</v>
      </c>
      <c r="D710" s="1">
        <v>59130244</v>
      </c>
      <c r="E710" s="1">
        <v>340000</v>
      </c>
      <c r="F710" s="1">
        <v>294</v>
      </c>
      <c r="G710" s="1">
        <v>152</v>
      </c>
      <c r="H710" s="1">
        <v>0.57550000000000001</v>
      </c>
      <c r="I710" s="1">
        <v>389014.76</v>
      </c>
      <c r="J710" s="1" t="s">
        <v>2635</v>
      </c>
      <c r="K710" s="1">
        <v>0</v>
      </c>
    </row>
    <row r="711" spans="1:11" x14ac:dyDescent="0.3">
      <c r="A711" s="1" t="s">
        <v>2636</v>
      </c>
      <c r="B711" s="1" t="s">
        <v>2637</v>
      </c>
      <c r="C711" s="1" t="s">
        <v>184</v>
      </c>
      <c r="D711" s="1">
        <v>1444980</v>
      </c>
      <c r="E711" s="1">
        <v>34000</v>
      </c>
      <c r="F711" s="1">
        <v>423</v>
      </c>
      <c r="G711" s="1">
        <v>13</v>
      </c>
      <c r="H711" s="1">
        <v>2.3822000000000001</v>
      </c>
      <c r="I711" s="1">
        <v>111152.31</v>
      </c>
      <c r="J711" s="1" t="s">
        <v>2638</v>
      </c>
      <c r="K711" s="1">
        <v>521</v>
      </c>
    </row>
    <row r="712" spans="1:11" x14ac:dyDescent="0.3">
      <c r="A712" s="1" t="s">
        <v>2639</v>
      </c>
      <c r="B712" s="1" t="s">
        <v>2640</v>
      </c>
      <c r="C712" s="1" t="s">
        <v>2641</v>
      </c>
      <c r="D712" s="1">
        <v>14991335</v>
      </c>
      <c r="E712" s="1">
        <v>156000</v>
      </c>
      <c r="F712" s="1">
        <v>60</v>
      </c>
      <c r="G712" s="1">
        <v>693</v>
      </c>
      <c r="H712" s="1">
        <v>1.0409999999999999</v>
      </c>
      <c r="I712" s="1">
        <v>21632.52</v>
      </c>
      <c r="J712" s="1" t="s">
        <v>2642</v>
      </c>
      <c r="K712" s="1">
        <v>0</v>
      </c>
    </row>
    <row r="713" spans="1:11" x14ac:dyDescent="0.3">
      <c r="A713" s="1" t="s">
        <v>2643</v>
      </c>
      <c r="B713" s="1" t="s">
        <v>2644</v>
      </c>
      <c r="C713" s="1" t="s">
        <v>2641</v>
      </c>
      <c r="D713" s="1">
        <v>176193356</v>
      </c>
      <c r="E713" s="1">
        <v>1700000</v>
      </c>
      <c r="F713" s="1">
        <v>1242</v>
      </c>
      <c r="G713" s="1">
        <v>1090</v>
      </c>
      <c r="H713" s="1">
        <v>0.96560000000000001</v>
      </c>
      <c r="I713" s="1">
        <v>161645.28</v>
      </c>
      <c r="J713" s="1" t="s">
        <v>2645</v>
      </c>
      <c r="K713" s="1">
        <v>0</v>
      </c>
    </row>
    <row r="714" spans="1:11" x14ac:dyDescent="0.3">
      <c r="A714" s="1" t="s">
        <v>2646</v>
      </c>
      <c r="B714" s="1" t="s">
        <v>2647</v>
      </c>
      <c r="C714" s="1" t="s">
        <v>1481</v>
      </c>
      <c r="D714" s="1">
        <v>1154258</v>
      </c>
      <c r="E714" s="1">
        <v>25000</v>
      </c>
      <c r="F714" s="1">
        <v>177</v>
      </c>
      <c r="G714" s="1">
        <v>6</v>
      </c>
      <c r="H714" s="1">
        <v>2.1812</v>
      </c>
      <c r="I714" s="1">
        <v>192376.33</v>
      </c>
      <c r="J714" s="1" t="s">
        <v>2648</v>
      </c>
      <c r="K714" s="1">
        <v>0</v>
      </c>
    </row>
    <row r="715" spans="1:11" x14ac:dyDescent="0.3">
      <c r="A715" s="1" t="s">
        <v>2649</v>
      </c>
      <c r="B715" s="1" t="s">
        <v>2650</v>
      </c>
      <c r="C715" s="1" t="s">
        <v>2651</v>
      </c>
      <c r="D715" s="1">
        <v>3586988</v>
      </c>
      <c r="E715" s="1">
        <v>0</v>
      </c>
      <c r="F715" s="1">
        <v>62</v>
      </c>
      <c r="G715" s="1">
        <v>5</v>
      </c>
      <c r="H715" s="1">
        <v>1.6999999999999999E-3</v>
      </c>
      <c r="I715" s="1">
        <v>717397.6</v>
      </c>
      <c r="J715" s="1" t="s">
        <v>2652</v>
      </c>
      <c r="K715" s="1">
        <v>381</v>
      </c>
    </row>
    <row r="716" spans="1:11" x14ac:dyDescent="0.3">
      <c r="A716" s="1" t="s">
        <v>2653</v>
      </c>
      <c r="B716" s="1" t="s">
        <v>2654</v>
      </c>
      <c r="C716" s="1" t="s">
        <v>2655</v>
      </c>
      <c r="D716" s="1">
        <v>1137505</v>
      </c>
      <c r="E716" s="1">
        <v>7300</v>
      </c>
      <c r="F716" s="1">
        <v>47</v>
      </c>
      <c r="G716" s="1">
        <v>14</v>
      </c>
      <c r="H716" s="1">
        <v>0.64590000000000003</v>
      </c>
      <c r="I716" s="1">
        <v>81250.36</v>
      </c>
      <c r="J716" s="1" t="s">
        <v>2656</v>
      </c>
      <c r="K716" s="1">
        <v>43</v>
      </c>
    </row>
    <row r="717" spans="1:11" x14ac:dyDescent="0.3">
      <c r="A717" s="1" t="s">
        <v>2657</v>
      </c>
      <c r="B717" s="1" t="s">
        <v>2658</v>
      </c>
      <c r="C717" s="1" t="s">
        <v>2659</v>
      </c>
      <c r="D717" s="1">
        <v>1453028</v>
      </c>
      <c r="E717" s="1">
        <v>0</v>
      </c>
      <c r="F717" s="1">
        <v>61</v>
      </c>
      <c r="G717" s="1">
        <v>5</v>
      </c>
      <c r="H717" s="1">
        <v>4.1999999999999997E-3</v>
      </c>
      <c r="I717" s="1">
        <v>290605.59999999998</v>
      </c>
      <c r="J717" s="1" t="s">
        <v>2660</v>
      </c>
      <c r="K717" s="1">
        <v>0</v>
      </c>
    </row>
    <row r="718" spans="1:11" x14ac:dyDescent="0.3">
      <c r="A718" s="1" t="s">
        <v>2661</v>
      </c>
      <c r="B718" s="1" t="s">
        <v>2662</v>
      </c>
      <c r="C718" s="1" t="s">
        <v>2562</v>
      </c>
      <c r="D718" s="1">
        <v>4422352</v>
      </c>
      <c r="E718" s="1">
        <v>54000</v>
      </c>
      <c r="F718" s="1">
        <v>246</v>
      </c>
      <c r="G718" s="1">
        <v>202</v>
      </c>
      <c r="H718" s="1">
        <v>1.2265999999999999</v>
      </c>
      <c r="I718" s="1">
        <v>21892.83</v>
      </c>
      <c r="J718" s="1" t="s">
        <v>2663</v>
      </c>
      <c r="K718" s="1">
        <v>342</v>
      </c>
    </row>
    <row r="719" spans="1:11" x14ac:dyDescent="0.3">
      <c r="A719" s="1" t="s">
        <v>2664</v>
      </c>
      <c r="B719" s="1" t="s">
        <v>2665</v>
      </c>
      <c r="C719" s="1" t="s">
        <v>779</v>
      </c>
      <c r="D719" s="1">
        <v>1142430</v>
      </c>
      <c r="E719" s="1">
        <v>18000</v>
      </c>
      <c r="F719" s="1">
        <v>76</v>
      </c>
      <c r="G719" s="1">
        <v>18</v>
      </c>
      <c r="H719" s="1">
        <v>1.5822000000000001</v>
      </c>
      <c r="I719" s="1">
        <v>63468.33</v>
      </c>
      <c r="J719" s="1" t="s">
        <v>2666</v>
      </c>
      <c r="K719" s="1">
        <v>1076</v>
      </c>
    </row>
    <row r="720" spans="1:11" x14ac:dyDescent="0.3">
      <c r="A720" s="1" t="s">
        <v>2667</v>
      </c>
      <c r="B720" s="1" t="s">
        <v>2668</v>
      </c>
      <c r="C720" s="1" t="s">
        <v>2669</v>
      </c>
      <c r="D720" s="1">
        <v>2727087</v>
      </c>
      <c r="E720" s="1">
        <v>64000</v>
      </c>
      <c r="F720" s="1">
        <v>64</v>
      </c>
      <c r="G720" s="1">
        <v>14</v>
      </c>
      <c r="H720" s="1">
        <v>2.3492000000000002</v>
      </c>
      <c r="I720" s="1">
        <v>194791.93</v>
      </c>
      <c r="J720" s="1" t="s">
        <v>2670</v>
      </c>
      <c r="K720" s="1">
        <v>38</v>
      </c>
    </row>
    <row r="721" spans="1:11" x14ac:dyDescent="0.3">
      <c r="A721" s="1" t="s">
        <v>2671</v>
      </c>
      <c r="B721" s="1" t="s">
        <v>2672</v>
      </c>
      <c r="C721" s="1" t="s">
        <v>2673</v>
      </c>
      <c r="D721" s="1">
        <v>18396900</v>
      </c>
      <c r="E721" s="1">
        <v>485000</v>
      </c>
      <c r="F721" s="1">
        <v>1035</v>
      </c>
      <c r="G721" s="1">
        <v>510</v>
      </c>
      <c r="H721" s="1">
        <v>2.6419000000000001</v>
      </c>
      <c r="I721" s="1">
        <v>36072.35</v>
      </c>
      <c r="J721" s="1" t="s">
        <v>2674</v>
      </c>
      <c r="K721" s="1">
        <v>0</v>
      </c>
    </row>
    <row r="722" spans="1:11" x14ac:dyDescent="0.3">
      <c r="A722" s="1" t="s">
        <v>2675</v>
      </c>
      <c r="B722" s="1" t="s">
        <v>2676</v>
      </c>
      <c r="C722" s="1" t="s">
        <v>360</v>
      </c>
      <c r="D722" s="1">
        <v>3189772</v>
      </c>
      <c r="E722" s="1">
        <v>0</v>
      </c>
      <c r="F722" s="1">
        <v>0</v>
      </c>
      <c r="G722" s="1">
        <v>9</v>
      </c>
      <c r="H722" s="1">
        <v>0</v>
      </c>
      <c r="I722" s="1">
        <v>354419.11</v>
      </c>
      <c r="J722" s="1" t="s">
        <v>2677</v>
      </c>
      <c r="K722" s="1">
        <v>56</v>
      </c>
    </row>
    <row r="723" spans="1:11" x14ac:dyDescent="0.3">
      <c r="A723" s="1" t="s">
        <v>2678</v>
      </c>
      <c r="B723" s="1" t="s">
        <v>2679</v>
      </c>
      <c r="C723" s="1" t="s">
        <v>1766</v>
      </c>
      <c r="D723" s="1">
        <v>10330931</v>
      </c>
      <c r="E723" s="1">
        <v>165000</v>
      </c>
      <c r="F723" s="1">
        <v>2288</v>
      </c>
      <c r="G723" s="1">
        <v>190</v>
      </c>
      <c r="H723" s="1">
        <v>1.6193</v>
      </c>
      <c r="I723" s="1">
        <v>54373.32</v>
      </c>
      <c r="J723" s="1" t="s">
        <v>2680</v>
      </c>
      <c r="K723" s="1">
        <v>0</v>
      </c>
    </row>
    <row r="724" spans="1:11" x14ac:dyDescent="0.3">
      <c r="A724" s="1" t="s">
        <v>2681</v>
      </c>
      <c r="B724" s="1" t="s">
        <v>2682</v>
      </c>
      <c r="C724" s="1" t="s">
        <v>1307</v>
      </c>
      <c r="D724" s="1">
        <v>74890240</v>
      </c>
      <c r="E724" s="1">
        <v>440000</v>
      </c>
      <c r="F724" s="1">
        <v>754</v>
      </c>
      <c r="G724" s="1">
        <v>444</v>
      </c>
      <c r="H724" s="1">
        <v>0.58850000000000002</v>
      </c>
      <c r="I724" s="1">
        <v>168671.71</v>
      </c>
      <c r="J724" s="1" t="s">
        <v>2683</v>
      </c>
      <c r="K724" s="1">
        <v>0</v>
      </c>
    </row>
    <row r="725" spans="1:11" x14ac:dyDescent="0.3">
      <c r="A725" s="1" t="s">
        <v>2684</v>
      </c>
      <c r="B725" s="1" t="s">
        <v>2685</v>
      </c>
      <c r="C725" s="1" t="s">
        <v>2686</v>
      </c>
      <c r="D725" s="1">
        <v>529904691</v>
      </c>
      <c r="E725" s="1">
        <v>6100000</v>
      </c>
      <c r="F725" s="1">
        <v>45071</v>
      </c>
      <c r="G725" s="1">
        <v>1744</v>
      </c>
      <c r="H725" s="1">
        <v>1.1597</v>
      </c>
      <c r="I725" s="1">
        <v>303844.43</v>
      </c>
      <c r="J725" s="1" t="s">
        <v>2687</v>
      </c>
      <c r="K725" s="1">
        <v>224</v>
      </c>
    </row>
    <row r="726" spans="1:11" x14ac:dyDescent="0.3">
      <c r="A726" s="1" t="s">
        <v>2688</v>
      </c>
      <c r="B726" s="1" t="s">
        <v>2689</v>
      </c>
      <c r="C726" s="1" t="s">
        <v>1866</v>
      </c>
      <c r="D726" s="1">
        <v>1362020</v>
      </c>
      <c r="E726" s="1">
        <v>0</v>
      </c>
      <c r="F726" s="1">
        <v>61</v>
      </c>
      <c r="G726" s="1">
        <v>5</v>
      </c>
      <c r="H726" s="1">
        <v>4.4999999999999997E-3</v>
      </c>
      <c r="I726" s="1">
        <v>272404</v>
      </c>
      <c r="J726" s="1" t="s">
        <v>2690</v>
      </c>
      <c r="K726" s="1">
        <v>0</v>
      </c>
    </row>
    <row r="727" spans="1:11" ht="28.8" x14ac:dyDescent="0.3">
      <c r="A727" s="1" t="s">
        <v>2691</v>
      </c>
      <c r="B727" s="2" t="s">
        <v>2692</v>
      </c>
      <c r="C727" s="1" t="s">
        <v>2693</v>
      </c>
      <c r="D727" s="1">
        <v>3945</v>
      </c>
      <c r="E727" s="1">
        <v>127</v>
      </c>
      <c r="F727" s="1">
        <v>4</v>
      </c>
      <c r="G727" s="1">
        <v>1</v>
      </c>
      <c r="H727" s="1">
        <v>3.3207</v>
      </c>
      <c r="I727" s="1">
        <v>3945</v>
      </c>
      <c r="J727" s="1" t="s">
        <v>2694</v>
      </c>
      <c r="K727" s="1">
        <v>56</v>
      </c>
    </row>
    <row r="728" spans="1:11" x14ac:dyDescent="0.3">
      <c r="A728" s="1" t="s">
        <v>2695</v>
      </c>
      <c r="B728" s="1" t="s">
        <v>2696</v>
      </c>
      <c r="C728" s="1" t="s">
        <v>2697</v>
      </c>
      <c r="D728" s="1">
        <v>1693500</v>
      </c>
      <c r="E728" s="1">
        <v>30000</v>
      </c>
      <c r="F728" s="1">
        <v>253</v>
      </c>
      <c r="G728" s="1">
        <v>4</v>
      </c>
      <c r="H728" s="1">
        <v>1.7864</v>
      </c>
      <c r="I728" s="1">
        <v>423375</v>
      </c>
      <c r="J728" s="1" t="s">
        <v>2698</v>
      </c>
      <c r="K728" s="1">
        <v>0</v>
      </c>
    </row>
    <row r="729" spans="1:11" x14ac:dyDescent="0.3">
      <c r="A729" s="1" t="s">
        <v>2699</v>
      </c>
      <c r="B729" s="1" t="s">
        <v>2700</v>
      </c>
      <c r="C729" s="1" t="s">
        <v>779</v>
      </c>
      <c r="D729" s="1">
        <v>18011950</v>
      </c>
      <c r="E729" s="1">
        <v>272000</v>
      </c>
      <c r="F729" s="1">
        <v>295</v>
      </c>
      <c r="G729" s="1">
        <v>188</v>
      </c>
      <c r="H729" s="1">
        <v>1.5117</v>
      </c>
      <c r="I729" s="1">
        <v>95808.24</v>
      </c>
      <c r="J729" s="1" t="s">
        <v>2701</v>
      </c>
      <c r="K729" s="1">
        <v>438</v>
      </c>
    </row>
    <row r="730" spans="1:11" x14ac:dyDescent="0.3">
      <c r="A730" s="1" t="s">
        <v>2702</v>
      </c>
      <c r="B730" s="1" t="s">
        <v>2703</v>
      </c>
      <c r="C730" s="1" t="s">
        <v>2704</v>
      </c>
      <c r="D730" s="1">
        <v>6122442</v>
      </c>
      <c r="E730" s="1">
        <v>10000</v>
      </c>
      <c r="F730" s="1">
        <v>324</v>
      </c>
      <c r="G730" s="1">
        <v>5829</v>
      </c>
      <c r="H730" s="1">
        <v>0.1686</v>
      </c>
      <c r="I730" s="1">
        <v>1050.3399999999999</v>
      </c>
      <c r="J730" s="1" t="s">
        <v>2705</v>
      </c>
      <c r="K730" s="1">
        <v>753</v>
      </c>
    </row>
    <row r="731" spans="1:11" x14ac:dyDescent="0.3">
      <c r="A731" s="1" t="s">
        <v>2706</v>
      </c>
      <c r="B731" s="1" t="s">
        <v>2707</v>
      </c>
      <c r="C731" s="1" t="s">
        <v>2708</v>
      </c>
      <c r="D731" s="1">
        <v>1217481</v>
      </c>
      <c r="E731" s="1">
        <v>16000</v>
      </c>
      <c r="F731" s="1">
        <v>114</v>
      </c>
      <c r="G731" s="1">
        <v>40</v>
      </c>
      <c r="H731" s="1">
        <v>1.3236000000000001</v>
      </c>
      <c r="I731" s="1">
        <v>30437.03</v>
      </c>
      <c r="J731" s="1" t="s">
        <v>2709</v>
      </c>
      <c r="K731" s="1">
        <v>30</v>
      </c>
    </row>
    <row r="732" spans="1:11" x14ac:dyDescent="0.3">
      <c r="A732" s="1" t="s">
        <v>2710</v>
      </c>
      <c r="B732" s="1" t="s">
        <v>2711</v>
      </c>
      <c r="C732" s="1" t="s">
        <v>2448</v>
      </c>
      <c r="D732" s="1">
        <v>13627733</v>
      </c>
      <c r="E732" s="1">
        <v>98000</v>
      </c>
      <c r="F732" s="1">
        <v>224</v>
      </c>
      <c r="G732" s="1">
        <v>464</v>
      </c>
      <c r="H732" s="1">
        <v>0.7208</v>
      </c>
      <c r="I732" s="1">
        <v>29370.11</v>
      </c>
      <c r="J732" s="1" t="s">
        <v>2712</v>
      </c>
      <c r="K732" s="1">
        <v>0</v>
      </c>
    </row>
    <row r="733" spans="1:11" x14ac:dyDescent="0.3">
      <c r="A733" s="1" t="s">
        <v>2713</v>
      </c>
      <c r="B733" s="1" t="s">
        <v>2714</v>
      </c>
      <c r="C733" s="1" t="s">
        <v>2715</v>
      </c>
      <c r="D733" s="1">
        <v>589988</v>
      </c>
      <c r="E733" s="1">
        <v>8600</v>
      </c>
      <c r="F733" s="1">
        <v>4</v>
      </c>
      <c r="G733" s="1">
        <v>3</v>
      </c>
      <c r="H733" s="1">
        <v>1.4582999999999999</v>
      </c>
      <c r="I733" s="1">
        <v>196662.67</v>
      </c>
      <c r="J733" s="1" t="s">
        <v>2716</v>
      </c>
      <c r="K733" s="1">
        <v>175</v>
      </c>
    </row>
    <row r="734" spans="1:11" x14ac:dyDescent="0.3">
      <c r="A734" s="1" t="s">
        <v>2717</v>
      </c>
      <c r="B734" s="1" t="s">
        <v>2447</v>
      </c>
      <c r="C734" s="1" t="s">
        <v>2448</v>
      </c>
      <c r="D734" s="1">
        <v>4691885</v>
      </c>
      <c r="E734" s="1">
        <v>52000</v>
      </c>
      <c r="F734" s="1">
        <v>111</v>
      </c>
      <c r="G734" s="1">
        <v>6</v>
      </c>
      <c r="H734" s="1">
        <v>1.1107</v>
      </c>
      <c r="I734" s="1">
        <v>781980.83</v>
      </c>
      <c r="J734" s="1" t="s">
        <v>2718</v>
      </c>
      <c r="K734" s="1">
        <v>0</v>
      </c>
    </row>
    <row r="735" spans="1:11" x14ac:dyDescent="0.3">
      <c r="A735" s="1" t="s">
        <v>2719</v>
      </c>
      <c r="B735" s="1" t="s">
        <v>2720</v>
      </c>
      <c r="C735" s="1" t="s">
        <v>2452</v>
      </c>
      <c r="D735" s="1">
        <v>913284</v>
      </c>
      <c r="E735" s="1">
        <v>19000</v>
      </c>
      <c r="F735" s="1">
        <v>180</v>
      </c>
      <c r="G735" s="1">
        <v>10</v>
      </c>
      <c r="H735" s="1">
        <v>2.1000999999999999</v>
      </c>
      <c r="I735" s="1">
        <v>91328.4</v>
      </c>
      <c r="J735" s="1" t="s">
        <v>2721</v>
      </c>
      <c r="K735" s="1">
        <v>0</v>
      </c>
    </row>
    <row r="736" spans="1:11" x14ac:dyDescent="0.3">
      <c r="A736" s="1" t="s">
        <v>2722</v>
      </c>
      <c r="B736" s="1" t="s">
        <v>2723</v>
      </c>
      <c r="C736" s="1" t="s">
        <v>2724</v>
      </c>
      <c r="D736" s="1">
        <v>3703225</v>
      </c>
      <c r="E736" s="1">
        <v>61000</v>
      </c>
      <c r="F736" s="1">
        <v>183</v>
      </c>
      <c r="G736" s="1">
        <v>9</v>
      </c>
      <c r="H736" s="1">
        <v>1.6521999999999999</v>
      </c>
      <c r="I736" s="1">
        <v>411469.44</v>
      </c>
      <c r="J736" s="1" t="s">
        <v>2725</v>
      </c>
      <c r="K736" s="1">
        <v>0</v>
      </c>
    </row>
    <row r="737" spans="1:11" x14ac:dyDescent="0.3">
      <c r="A737" s="1" t="s">
        <v>2726</v>
      </c>
      <c r="B737" s="1" t="s">
        <v>2727</v>
      </c>
      <c r="C737" s="1" t="s">
        <v>2728</v>
      </c>
      <c r="D737" s="1">
        <v>3566879</v>
      </c>
      <c r="E737" s="1">
        <v>63000</v>
      </c>
      <c r="F737" s="1">
        <v>445</v>
      </c>
      <c r="G737" s="1">
        <v>7</v>
      </c>
      <c r="H737" s="1">
        <v>1.7786999999999999</v>
      </c>
      <c r="I737" s="1">
        <v>509554.14</v>
      </c>
      <c r="J737" s="1" t="s">
        <v>2729</v>
      </c>
      <c r="K737" s="1">
        <v>0</v>
      </c>
    </row>
    <row r="738" spans="1:11" x14ac:dyDescent="0.3">
      <c r="A738" s="1" t="s">
        <v>2730</v>
      </c>
      <c r="B738" s="1" t="s">
        <v>2731</v>
      </c>
      <c r="C738" s="1" t="s">
        <v>1359</v>
      </c>
      <c r="D738" s="1">
        <v>20042688</v>
      </c>
      <c r="E738" s="1">
        <v>325000</v>
      </c>
      <c r="F738" s="1">
        <v>2410</v>
      </c>
      <c r="G738" s="1">
        <v>21</v>
      </c>
      <c r="H738" s="1">
        <v>1.6335999999999999</v>
      </c>
      <c r="I738" s="1">
        <v>954413.71</v>
      </c>
      <c r="J738" s="1" t="s">
        <v>2732</v>
      </c>
      <c r="K738" s="1">
        <v>0</v>
      </c>
    </row>
    <row r="739" spans="1:11" x14ac:dyDescent="0.3">
      <c r="A739" s="1" t="s">
        <v>2733</v>
      </c>
      <c r="B739" s="1" t="s">
        <v>2734</v>
      </c>
      <c r="C739" s="1" t="s">
        <v>2735</v>
      </c>
      <c r="D739" s="1">
        <v>124982</v>
      </c>
      <c r="E739" s="1">
        <v>2700</v>
      </c>
      <c r="F739" s="1">
        <v>35</v>
      </c>
      <c r="G739" s="1">
        <v>7</v>
      </c>
      <c r="H739" s="1">
        <v>2.1882999999999999</v>
      </c>
      <c r="I739" s="1">
        <v>17854.57</v>
      </c>
      <c r="J739" s="1" t="s">
        <v>2736</v>
      </c>
      <c r="K739" s="1">
        <v>1145</v>
      </c>
    </row>
    <row r="740" spans="1:11" x14ac:dyDescent="0.3">
      <c r="A740" s="1" t="s">
        <v>2737</v>
      </c>
      <c r="B740" s="1" t="s">
        <v>2738</v>
      </c>
      <c r="C740" s="1" t="s">
        <v>2437</v>
      </c>
      <c r="D740" s="1">
        <v>257118</v>
      </c>
      <c r="E740" s="1">
        <v>0</v>
      </c>
      <c r="F740" s="1">
        <v>7</v>
      </c>
      <c r="G740" s="1">
        <v>5</v>
      </c>
      <c r="H740" s="1">
        <v>2.7000000000000001E-3</v>
      </c>
      <c r="I740" s="1">
        <v>51423.6</v>
      </c>
      <c r="J740" s="1" t="s">
        <v>2739</v>
      </c>
      <c r="K740" s="1">
        <v>0</v>
      </c>
    </row>
    <row r="741" spans="1:11" x14ac:dyDescent="0.3">
      <c r="A741" s="1" t="s">
        <v>2740</v>
      </c>
      <c r="B741" s="1" t="s">
        <v>2741</v>
      </c>
      <c r="C741" s="1" t="s">
        <v>2404</v>
      </c>
      <c r="D741" s="1">
        <v>984755</v>
      </c>
      <c r="E741" s="1">
        <v>8400</v>
      </c>
      <c r="F741" s="1">
        <v>14</v>
      </c>
      <c r="G741" s="1">
        <v>5</v>
      </c>
      <c r="H741" s="1">
        <v>0.85440000000000005</v>
      </c>
      <c r="I741" s="1">
        <v>196951</v>
      </c>
      <c r="J741" s="1" t="s">
        <v>2742</v>
      </c>
      <c r="K741" s="1">
        <v>221</v>
      </c>
    </row>
    <row r="742" spans="1:11" x14ac:dyDescent="0.3">
      <c r="A742" s="1" t="s">
        <v>2743</v>
      </c>
      <c r="B742" s="1" t="s">
        <v>2744</v>
      </c>
      <c r="C742" s="1" t="s">
        <v>2280</v>
      </c>
      <c r="D742" s="1">
        <v>5208327</v>
      </c>
      <c r="E742" s="1">
        <v>193000</v>
      </c>
      <c r="F742" s="1">
        <v>792</v>
      </c>
      <c r="G742" s="1">
        <v>970</v>
      </c>
      <c r="H742" s="1">
        <v>3.7208000000000001</v>
      </c>
      <c r="I742" s="1">
        <v>5369.41</v>
      </c>
      <c r="J742" s="1" t="s">
        <v>2745</v>
      </c>
      <c r="K742" s="1">
        <v>0</v>
      </c>
    </row>
    <row r="743" spans="1:11" x14ac:dyDescent="0.3">
      <c r="A743" s="1" t="s">
        <v>2746</v>
      </c>
      <c r="B743" s="1" t="s">
        <v>2747</v>
      </c>
      <c r="C743" s="1" t="s">
        <v>2163</v>
      </c>
      <c r="D743" s="1">
        <v>2207748</v>
      </c>
      <c r="E743" s="1">
        <v>25000</v>
      </c>
      <c r="F743" s="1">
        <v>23</v>
      </c>
      <c r="G743" s="1">
        <v>7</v>
      </c>
      <c r="H743" s="1">
        <v>1.1334</v>
      </c>
      <c r="I743" s="1">
        <v>315392.57</v>
      </c>
      <c r="J743" s="1" t="s">
        <v>2748</v>
      </c>
      <c r="K743" s="1">
        <v>0</v>
      </c>
    </row>
    <row r="744" spans="1:11" x14ac:dyDescent="0.3">
      <c r="A744" s="1" t="s">
        <v>2749</v>
      </c>
      <c r="B744" s="1" t="s">
        <v>2750</v>
      </c>
      <c r="C744" s="1" t="s">
        <v>2751</v>
      </c>
      <c r="D744" s="1">
        <v>45933</v>
      </c>
      <c r="E744" s="1">
        <v>757</v>
      </c>
      <c r="F744" s="1">
        <v>10</v>
      </c>
      <c r="G744" s="1">
        <v>1</v>
      </c>
      <c r="H744" s="1">
        <v>1.6698</v>
      </c>
      <c r="I744" s="1">
        <v>45933</v>
      </c>
      <c r="J744" s="1" t="s">
        <v>2752</v>
      </c>
      <c r="K744" s="1">
        <v>2439</v>
      </c>
    </row>
    <row r="745" spans="1:11" x14ac:dyDescent="0.3">
      <c r="A745" s="1" t="s">
        <v>2753</v>
      </c>
      <c r="B745" s="1" t="s">
        <v>2754</v>
      </c>
      <c r="C745" s="1" t="s">
        <v>691</v>
      </c>
      <c r="D745" s="1">
        <v>7782711</v>
      </c>
      <c r="E745" s="1">
        <v>240000</v>
      </c>
      <c r="F745" s="1">
        <v>1275</v>
      </c>
      <c r="G745" s="1">
        <v>8</v>
      </c>
      <c r="H745" s="1">
        <v>3.1000999999999999</v>
      </c>
      <c r="I745" s="1">
        <v>972838.88</v>
      </c>
      <c r="J745" s="1" t="s">
        <v>2755</v>
      </c>
      <c r="K745" s="1">
        <v>0</v>
      </c>
    </row>
    <row r="746" spans="1:11" x14ac:dyDescent="0.3">
      <c r="A746" s="1" t="s">
        <v>2756</v>
      </c>
      <c r="B746" s="1" t="s">
        <v>2757</v>
      </c>
      <c r="C746" s="1" t="s">
        <v>2758</v>
      </c>
      <c r="D746" s="1">
        <v>319124</v>
      </c>
      <c r="E746" s="1">
        <v>5000</v>
      </c>
      <c r="F746" s="1">
        <v>22</v>
      </c>
      <c r="G746" s="1">
        <v>7</v>
      </c>
      <c r="H746" s="1">
        <v>1.5737000000000001</v>
      </c>
      <c r="I746" s="1">
        <v>45589.14</v>
      </c>
      <c r="J746" s="1" t="s">
        <v>2759</v>
      </c>
      <c r="K746" s="1">
        <v>0</v>
      </c>
    </row>
    <row r="747" spans="1:11" x14ac:dyDescent="0.3">
      <c r="A747" s="1" t="s">
        <v>2760</v>
      </c>
      <c r="B747" s="1" t="s">
        <v>2761</v>
      </c>
      <c r="C747" s="1" t="s">
        <v>188</v>
      </c>
      <c r="D747" s="1">
        <v>5452973</v>
      </c>
      <c r="E747" s="1">
        <v>144000</v>
      </c>
      <c r="F747" s="1">
        <v>1873</v>
      </c>
      <c r="G747" s="1">
        <v>7</v>
      </c>
      <c r="H747" s="1">
        <v>2.6751</v>
      </c>
      <c r="I747" s="1">
        <v>778996.14</v>
      </c>
      <c r="J747" s="1" t="s">
        <v>2762</v>
      </c>
      <c r="K747" s="1">
        <v>25</v>
      </c>
    </row>
    <row r="748" spans="1:11" x14ac:dyDescent="0.3">
      <c r="A748" s="1" t="s">
        <v>2763</v>
      </c>
      <c r="B748" s="1" t="s">
        <v>2764</v>
      </c>
      <c r="C748" s="1" t="s">
        <v>188</v>
      </c>
      <c r="D748" s="1">
        <v>20360725</v>
      </c>
      <c r="E748" s="1">
        <v>329000</v>
      </c>
      <c r="F748" s="1">
        <v>1019</v>
      </c>
      <c r="G748" s="1">
        <v>23</v>
      </c>
      <c r="H748" s="1">
        <v>1.6209</v>
      </c>
      <c r="I748" s="1">
        <v>885248.91</v>
      </c>
      <c r="J748" s="1" t="s">
        <v>2765</v>
      </c>
      <c r="K748" s="1">
        <v>28</v>
      </c>
    </row>
    <row r="749" spans="1:11" x14ac:dyDescent="0.3">
      <c r="A749" s="1" t="s">
        <v>2766</v>
      </c>
      <c r="B749" s="1" t="s">
        <v>2767</v>
      </c>
      <c r="C749" s="1" t="s">
        <v>2062</v>
      </c>
      <c r="D749" s="1">
        <v>15799588</v>
      </c>
      <c r="E749" s="1">
        <v>223000</v>
      </c>
      <c r="F749" s="1">
        <v>759</v>
      </c>
      <c r="G749" s="1">
        <v>22</v>
      </c>
      <c r="H749" s="1">
        <v>1.4161999999999999</v>
      </c>
      <c r="I749" s="1">
        <v>718163.09</v>
      </c>
      <c r="J749" s="1" t="s">
        <v>2768</v>
      </c>
      <c r="K749" s="1">
        <v>49</v>
      </c>
    </row>
    <row r="750" spans="1:11" x14ac:dyDescent="0.3">
      <c r="A750" s="1" t="s">
        <v>2769</v>
      </c>
      <c r="B750" s="1" t="s">
        <v>2770</v>
      </c>
      <c r="C750" s="1" t="s">
        <v>2771</v>
      </c>
      <c r="D750" s="1">
        <v>702972</v>
      </c>
      <c r="E750" s="1">
        <v>33000</v>
      </c>
      <c r="F750" s="1">
        <v>215</v>
      </c>
      <c r="G750" s="1">
        <v>10</v>
      </c>
      <c r="H750" s="1">
        <v>4.7248999999999999</v>
      </c>
      <c r="I750" s="1">
        <v>70297.2</v>
      </c>
      <c r="J750" s="1" t="s">
        <v>2772</v>
      </c>
      <c r="K750" s="1">
        <v>0</v>
      </c>
    </row>
    <row r="751" spans="1:11" x14ac:dyDescent="0.3">
      <c r="A751" s="1" t="s">
        <v>2773</v>
      </c>
      <c r="B751" s="1" t="s">
        <v>2774</v>
      </c>
      <c r="C751" s="1" t="s">
        <v>2775</v>
      </c>
      <c r="D751" s="1">
        <v>18549138</v>
      </c>
      <c r="E751" s="1">
        <v>174000</v>
      </c>
      <c r="F751" s="1">
        <v>57</v>
      </c>
      <c r="G751" s="1">
        <v>831</v>
      </c>
      <c r="H751" s="1">
        <v>0.93840000000000001</v>
      </c>
      <c r="I751" s="1">
        <v>22321.47</v>
      </c>
      <c r="J751" s="1" t="s">
        <v>2776</v>
      </c>
      <c r="K751" s="1">
        <v>26</v>
      </c>
    </row>
    <row r="752" spans="1:11" x14ac:dyDescent="0.3">
      <c r="A752" s="1" t="s">
        <v>2777</v>
      </c>
      <c r="B752" s="1" t="s">
        <v>2778</v>
      </c>
      <c r="C752" s="1" t="s">
        <v>1692</v>
      </c>
      <c r="D752" s="1">
        <v>592509</v>
      </c>
      <c r="E752" s="1">
        <v>6200</v>
      </c>
      <c r="F752" s="1">
        <v>18</v>
      </c>
      <c r="G752" s="1">
        <v>6</v>
      </c>
      <c r="H752" s="1">
        <v>1.0494000000000001</v>
      </c>
      <c r="I752" s="1">
        <v>98751.5</v>
      </c>
      <c r="J752" s="1" t="s">
        <v>2779</v>
      </c>
      <c r="K752" s="1">
        <v>730</v>
      </c>
    </row>
    <row r="753" spans="1:11" x14ac:dyDescent="0.3">
      <c r="A753" s="1" t="s">
        <v>2780</v>
      </c>
      <c r="B753" s="1" t="s">
        <v>2781</v>
      </c>
      <c r="C753" s="1" t="s">
        <v>2782</v>
      </c>
      <c r="D753" s="1">
        <v>13068189</v>
      </c>
      <c r="E753" s="1">
        <v>177000</v>
      </c>
      <c r="F753" s="1">
        <v>2812</v>
      </c>
      <c r="G753" s="1">
        <v>1542</v>
      </c>
      <c r="H753" s="1">
        <v>1.3759999999999999</v>
      </c>
      <c r="I753" s="1">
        <v>8474.83</v>
      </c>
      <c r="J753" s="1" t="s">
        <v>2783</v>
      </c>
      <c r="K753" s="1">
        <v>222</v>
      </c>
    </row>
    <row r="754" spans="1:11" x14ac:dyDescent="0.3">
      <c r="A754" s="1" t="s">
        <v>2784</v>
      </c>
      <c r="B754" s="1" t="s">
        <v>2785</v>
      </c>
      <c r="C754" s="1" t="s">
        <v>2062</v>
      </c>
      <c r="D754" s="1">
        <v>7972382</v>
      </c>
      <c r="E754" s="1">
        <v>166000</v>
      </c>
      <c r="F754" s="1">
        <v>621</v>
      </c>
      <c r="G754" s="1">
        <v>7</v>
      </c>
      <c r="H754" s="1">
        <v>2.09</v>
      </c>
      <c r="I754" s="1">
        <v>1138911.71</v>
      </c>
      <c r="J754" s="1" t="s">
        <v>2786</v>
      </c>
      <c r="K754" s="1">
        <v>81</v>
      </c>
    </row>
    <row r="755" spans="1:11" x14ac:dyDescent="0.3">
      <c r="A755" s="1" t="s">
        <v>2787</v>
      </c>
      <c r="B755" s="1" t="s">
        <v>2788</v>
      </c>
      <c r="C755" s="1" t="s">
        <v>730</v>
      </c>
      <c r="D755" s="1">
        <v>606451</v>
      </c>
      <c r="E755" s="1">
        <v>10000</v>
      </c>
      <c r="F755" s="1">
        <v>19</v>
      </c>
      <c r="G755" s="1">
        <v>8</v>
      </c>
      <c r="H755" s="1">
        <v>1.6520999999999999</v>
      </c>
      <c r="I755" s="1">
        <v>75806.38</v>
      </c>
      <c r="J755" s="1" t="s">
        <v>2789</v>
      </c>
      <c r="K755" s="1">
        <v>111</v>
      </c>
    </row>
    <row r="756" spans="1:11" x14ac:dyDescent="0.3">
      <c r="A756" s="1" t="s">
        <v>2790</v>
      </c>
      <c r="B756" s="1" t="s">
        <v>2791</v>
      </c>
      <c r="C756" s="1" t="s">
        <v>2299</v>
      </c>
      <c r="D756" s="1">
        <v>2278267</v>
      </c>
      <c r="E756" s="1">
        <v>26000</v>
      </c>
      <c r="F756" s="1">
        <v>54</v>
      </c>
      <c r="G756" s="1">
        <v>9</v>
      </c>
      <c r="H756" s="1">
        <v>1.1435999999999999</v>
      </c>
      <c r="I756" s="1">
        <v>253140.78</v>
      </c>
      <c r="J756" s="1" t="s">
        <v>2792</v>
      </c>
      <c r="K756" s="1">
        <v>0</v>
      </c>
    </row>
    <row r="757" spans="1:11" x14ac:dyDescent="0.3">
      <c r="A757" s="1" t="s">
        <v>2793</v>
      </c>
      <c r="B757" s="1" t="s">
        <v>2794</v>
      </c>
      <c r="C757" s="1" t="s">
        <v>2795</v>
      </c>
      <c r="D757" s="1">
        <v>250657790</v>
      </c>
      <c r="E757" s="1">
        <v>0</v>
      </c>
      <c r="F757" s="1">
        <v>0</v>
      </c>
      <c r="G757" s="1">
        <v>1578</v>
      </c>
      <c r="H757" s="1">
        <v>0</v>
      </c>
      <c r="I757" s="1">
        <v>158845.24</v>
      </c>
      <c r="J757" s="1" t="s">
        <v>2796</v>
      </c>
      <c r="K757" s="1">
        <v>1314</v>
      </c>
    </row>
    <row r="758" spans="1:11" x14ac:dyDescent="0.3">
      <c r="A758" s="1" t="s">
        <v>2797</v>
      </c>
      <c r="B758" s="1" t="s">
        <v>2798</v>
      </c>
      <c r="C758" s="1" t="s">
        <v>2799</v>
      </c>
      <c r="D758" s="1">
        <v>27822780</v>
      </c>
      <c r="E758" s="1">
        <v>293000</v>
      </c>
      <c r="F758" s="1">
        <v>726</v>
      </c>
      <c r="G758" s="1">
        <v>672</v>
      </c>
      <c r="H758" s="1">
        <v>1.0557000000000001</v>
      </c>
      <c r="I758" s="1">
        <v>41402.949999999997</v>
      </c>
      <c r="J758" s="1" t="s">
        <v>2800</v>
      </c>
      <c r="K758" s="1">
        <v>26</v>
      </c>
    </row>
    <row r="759" spans="1:11" x14ac:dyDescent="0.3">
      <c r="A759" s="1" t="s">
        <v>2801</v>
      </c>
      <c r="B759" s="1" t="s">
        <v>2802</v>
      </c>
      <c r="C759" s="1" t="s">
        <v>2803</v>
      </c>
      <c r="D759" s="1">
        <v>530886</v>
      </c>
      <c r="E759" s="1">
        <v>12000</v>
      </c>
      <c r="F759" s="1">
        <v>5</v>
      </c>
      <c r="G759" s="1">
        <v>907</v>
      </c>
      <c r="H759" s="1">
        <v>2.2612999999999999</v>
      </c>
      <c r="I759" s="1">
        <v>585.32000000000005</v>
      </c>
      <c r="J759" s="1" t="s">
        <v>2804</v>
      </c>
      <c r="K759" s="1">
        <v>1022</v>
      </c>
    </row>
    <row r="760" spans="1:11" x14ac:dyDescent="0.3">
      <c r="A760" s="1" t="s">
        <v>2805</v>
      </c>
      <c r="B760" s="1" t="s">
        <v>2806</v>
      </c>
      <c r="C760" s="1" t="s">
        <v>2803</v>
      </c>
      <c r="D760" s="1">
        <v>573119</v>
      </c>
      <c r="E760" s="1">
        <v>26000</v>
      </c>
      <c r="F760" s="1">
        <v>14</v>
      </c>
      <c r="G760" s="1">
        <v>908</v>
      </c>
      <c r="H760" s="1">
        <v>4.5389999999999997</v>
      </c>
      <c r="I760" s="1">
        <v>631.19000000000005</v>
      </c>
      <c r="J760" s="1" t="s">
        <v>2807</v>
      </c>
      <c r="K760" s="1">
        <v>985</v>
      </c>
    </row>
    <row r="761" spans="1:11" x14ac:dyDescent="0.3">
      <c r="A761" s="1" t="s">
        <v>2808</v>
      </c>
      <c r="B761" s="1" t="s">
        <v>2809</v>
      </c>
      <c r="C761" s="1" t="s">
        <v>2810</v>
      </c>
      <c r="D761" s="1">
        <v>1541296</v>
      </c>
      <c r="E761" s="1">
        <v>21000</v>
      </c>
      <c r="F761" s="1">
        <v>252</v>
      </c>
      <c r="G761" s="1">
        <v>7</v>
      </c>
      <c r="H761" s="1">
        <v>1.3788</v>
      </c>
      <c r="I761" s="1">
        <v>220185.14</v>
      </c>
      <c r="J761" s="1" t="s">
        <v>2811</v>
      </c>
      <c r="K761" s="1">
        <v>607</v>
      </c>
    </row>
    <row r="762" spans="1:11" x14ac:dyDescent="0.3">
      <c r="A762" s="1" t="s">
        <v>2812</v>
      </c>
      <c r="B762" s="1" t="s">
        <v>2813</v>
      </c>
      <c r="C762" s="1" t="s">
        <v>2814</v>
      </c>
      <c r="D762" s="1">
        <v>21726986</v>
      </c>
      <c r="E762" s="1">
        <v>43000</v>
      </c>
      <c r="F762" s="1">
        <v>0</v>
      </c>
      <c r="G762" s="1">
        <v>251</v>
      </c>
      <c r="H762" s="1">
        <v>0.19789999999999999</v>
      </c>
      <c r="I762" s="1">
        <v>86561.7</v>
      </c>
      <c r="J762" s="1" t="s">
        <v>2815</v>
      </c>
      <c r="K762" s="1">
        <v>35</v>
      </c>
    </row>
    <row r="763" spans="1:11" x14ac:dyDescent="0.3">
      <c r="A763" s="1" t="s">
        <v>2816</v>
      </c>
      <c r="B763" s="1" t="s">
        <v>2817</v>
      </c>
      <c r="C763" s="1" t="s">
        <v>2803</v>
      </c>
      <c r="D763" s="1">
        <v>39896</v>
      </c>
      <c r="E763" s="1">
        <v>1800</v>
      </c>
      <c r="F763" s="1">
        <v>2</v>
      </c>
      <c r="G763" s="1">
        <v>908</v>
      </c>
      <c r="H763" s="1">
        <v>4.5167000000000002</v>
      </c>
      <c r="I763" s="1">
        <v>43.94</v>
      </c>
      <c r="J763" s="1" t="s">
        <v>2818</v>
      </c>
      <c r="K763" s="1">
        <v>1075</v>
      </c>
    </row>
    <row r="764" spans="1:11" x14ac:dyDescent="0.3">
      <c r="A764" s="1" t="s">
        <v>2819</v>
      </c>
      <c r="B764" s="1" t="s">
        <v>2820</v>
      </c>
      <c r="C764" s="1" t="s">
        <v>2803</v>
      </c>
      <c r="D764" s="1">
        <v>45155</v>
      </c>
      <c r="E764" s="1">
        <v>2100</v>
      </c>
      <c r="F764" s="1">
        <v>1</v>
      </c>
      <c r="G764" s="1">
        <v>908</v>
      </c>
      <c r="H764" s="1">
        <v>4.6528999999999998</v>
      </c>
      <c r="I764" s="1">
        <v>49.73</v>
      </c>
      <c r="J764" s="1" t="s">
        <v>2821</v>
      </c>
      <c r="K764" s="1">
        <v>1075</v>
      </c>
    </row>
    <row r="765" spans="1:11" x14ac:dyDescent="0.3">
      <c r="A765" s="1" t="s">
        <v>2822</v>
      </c>
      <c r="B765" s="1" t="s">
        <v>2823</v>
      </c>
      <c r="C765" s="1" t="s">
        <v>2824</v>
      </c>
      <c r="D765" s="1">
        <v>1920416</v>
      </c>
      <c r="E765" s="1">
        <v>46000</v>
      </c>
      <c r="F765" s="1">
        <v>1286</v>
      </c>
      <c r="G765" s="1">
        <v>17</v>
      </c>
      <c r="H765" s="1">
        <v>2.4622999999999999</v>
      </c>
      <c r="I765" s="1">
        <v>112965.65</v>
      </c>
      <c r="J765" s="1" t="s">
        <v>2825</v>
      </c>
      <c r="K765" s="1">
        <v>37</v>
      </c>
    </row>
    <row r="766" spans="1:11" x14ac:dyDescent="0.3">
      <c r="A766" s="1" t="s">
        <v>2826</v>
      </c>
      <c r="B766" s="1" t="s">
        <v>2827</v>
      </c>
      <c r="C766" s="1" t="s">
        <v>1457</v>
      </c>
      <c r="D766" s="1">
        <v>6039263</v>
      </c>
      <c r="E766" s="1">
        <v>49000</v>
      </c>
      <c r="F766" s="1">
        <v>30</v>
      </c>
      <c r="G766" s="1">
        <v>6</v>
      </c>
      <c r="H766" s="1">
        <v>0.81189999999999996</v>
      </c>
      <c r="I766" s="1">
        <v>1006543.83</v>
      </c>
      <c r="J766" s="1" t="s">
        <v>2828</v>
      </c>
      <c r="K766" s="1">
        <v>298</v>
      </c>
    </row>
    <row r="767" spans="1:11" x14ac:dyDescent="0.3">
      <c r="A767" s="1" t="s">
        <v>2829</v>
      </c>
      <c r="B767" s="1" t="s">
        <v>2830</v>
      </c>
      <c r="C767" s="1" t="s">
        <v>2831</v>
      </c>
      <c r="D767" s="1">
        <v>9346140</v>
      </c>
      <c r="E767" s="1">
        <v>0</v>
      </c>
      <c r="F767" s="1">
        <v>226</v>
      </c>
      <c r="G767" s="1">
        <v>8</v>
      </c>
      <c r="H767" s="1">
        <v>2.3999999999999998E-3</v>
      </c>
      <c r="I767" s="1">
        <v>1168267.5</v>
      </c>
      <c r="J767" s="1" t="s">
        <v>2832</v>
      </c>
      <c r="K767" s="1">
        <v>0</v>
      </c>
    </row>
    <row r="768" spans="1:11" x14ac:dyDescent="0.3">
      <c r="A768" s="1" t="s">
        <v>2833</v>
      </c>
      <c r="B768" s="1" t="s">
        <v>2834</v>
      </c>
      <c r="C768" s="1" t="s">
        <v>2803</v>
      </c>
      <c r="D768" s="1">
        <v>87854</v>
      </c>
      <c r="E768" s="1">
        <v>2400</v>
      </c>
      <c r="F768" s="1">
        <v>16</v>
      </c>
      <c r="G768" s="1">
        <v>908</v>
      </c>
      <c r="H768" s="1">
        <v>2.75</v>
      </c>
      <c r="I768" s="1">
        <v>96.76</v>
      </c>
      <c r="J768" s="1" t="s">
        <v>2835</v>
      </c>
      <c r="K768" s="1">
        <v>1005</v>
      </c>
    </row>
    <row r="769" spans="1:11" x14ac:dyDescent="0.3">
      <c r="A769" s="1" t="s">
        <v>2836</v>
      </c>
      <c r="B769" s="1" t="s">
        <v>2837</v>
      </c>
      <c r="C769" s="1" t="s">
        <v>188</v>
      </c>
      <c r="D769" s="1">
        <v>6953481</v>
      </c>
      <c r="E769" s="1">
        <v>185000</v>
      </c>
      <c r="F769" s="1">
        <v>649</v>
      </c>
      <c r="G769" s="1">
        <v>6</v>
      </c>
      <c r="H769" s="1">
        <v>2.6699000000000002</v>
      </c>
      <c r="I769" s="1">
        <v>1158913.5</v>
      </c>
      <c r="J769" s="1" t="s">
        <v>2838</v>
      </c>
      <c r="K769" s="1">
        <v>38</v>
      </c>
    </row>
    <row r="770" spans="1:11" x14ac:dyDescent="0.3">
      <c r="A770" s="1" t="s">
        <v>2839</v>
      </c>
      <c r="B770" s="1" t="s">
        <v>2840</v>
      </c>
      <c r="C770" s="1" t="s">
        <v>2841</v>
      </c>
      <c r="D770" s="1">
        <v>23482</v>
      </c>
      <c r="E770" s="1">
        <v>470</v>
      </c>
      <c r="F770" s="1">
        <v>4</v>
      </c>
      <c r="G770" s="1">
        <v>1</v>
      </c>
      <c r="H770" s="1">
        <v>2.0186000000000002</v>
      </c>
      <c r="I770" s="1">
        <v>23482</v>
      </c>
      <c r="J770" s="1" t="s">
        <v>2842</v>
      </c>
      <c r="K770" s="1">
        <v>273</v>
      </c>
    </row>
    <row r="771" spans="1:11" x14ac:dyDescent="0.3">
      <c r="A771" s="1" t="e">
        <f>-Dek1V1ulNw</f>
        <v>#NAME?</v>
      </c>
      <c r="B771" s="1" t="s">
        <v>2843</v>
      </c>
      <c r="C771" s="1" t="s">
        <v>2844</v>
      </c>
      <c r="D771" s="1">
        <v>69444343</v>
      </c>
      <c r="E771" s="1">
        <v>418000</v>
      </c>
      <c r="F771" s="1">
        <v>2254</v>
      </c>
      <c r="G771" s="1">
        <v>277</v>
      </c>
      <c r="H771" s="1">
        <v>0.60519999999999996</v>
      </c>
      <c r="I771" s="1">
        <v>250701.6</v>
      </c>
      <c r="J771" s="1" t="s">
        <v>2845</v>
      </c>
      <c r="K771" s="1">
        <v>0</v>
      </c>
    </row>
    <row r="772" spans="1:11" x14ac:dyDescent="0.3">
      <c r="A772" s="1" t="s">
        <v>2846</v>
      </c>
      <c r="B772" s="1" t="s">
        <v>2847</v>
      </c>
      <c r="C772" s="1" t="s">
        <v>2848</v>
      </c>
      <c r="D772" s="1">
        <v>2612146</v>
      </c>
      <c r="E772" s="1">
        <v>13000</v>
      </c>
      <c r="F772" s="1">
        <v>41</v>
      </c>
      <c r="G772" s="1">
        <v>9</v>
      </c>
      <c r="H772" s="1">
        <v>0.49919999999999998</v>
      </c>
      <c r="I772" s="1">
        <v>290238.44</v>
      </c>
      <c r="J772" s="1" t="s">
        <v>2849</v>
      </c>
      <c r="K772" s="1">
        <v>0</v>
      </c>
    </row>
    <row r="773" spans="1:11" x14ac:dyDescent="0.3">
      <c r="A773" s="1" t="s">
        <v>2850</v>
      </c>
      <c r="B773" s="1" t="s">
        <v>2851</v>
      </c>
      <c r="C773" s="1" t="s">
        <v>188</v>
      </c>
      <c r="D773" s="1">
        <v>22136302</v>
      </c>
      <c r="E773" s="1">
        <v>464000</v>
      </c>
      <c r="F773" s="1">
        <v>1495</v>
      </c>
      <c r="G773" s="1">
        <v>8</v>
      </c>
      <c r="H773" s="1">
        <v>2.1029</v>
      </c>
      <c r="I773" s="1">
        <v>2767037.75</v>
      </c>
      <c r="J773" s="1" t="s">
        <v>2852</v>
      </c>
      <c r="K773" s="1">
        <v>29</v>
      </c>
    </row>
    <row r="774" spans="1:11" x14ac:dyDescent="0.3">
      <c r="A774" s="1" t="s">
        <v>2853</v>
      </c>
      <c r="B774" s="1" t="s">
        <v>2854</v>
      </c>
      <c r="C774" s="1" t="s">
        <v>2855</v>
      </c>
      <c r="D774" s="1">
        <v>1309339</v>
      </c>
      <c r="E774" s="1">
        <v>18000</v>
      </c>
      <c r="F774" s="1">
        <v>12</v>
      </c>
      <c r="G774" s="1">
        <v>22</v>
      </c>
      <c r="H774" s="1">
        <v>1.3756999999999999</v>
      </c>
      <c r="I774" s="1">
        <v>59515.41</v>
      </c>
      <c r="J774" s="1" t="s">
        <v>2856</v>
      </c>
      <c r="K774" s="1">
        <v>0</v>
      </c>
    </row>
    <row r="775" spans="1:11" x14ac:dyDescent="0.3">
      <c r="A775" s="1" t="s">
        <v>2857</v>
      </c>
      <c r="B775" s="1" t="s">
        <v>2858</v>
      </c>
      <c r="C775" s="1" t="s">
        <v>2859</v>
      </c>
      <c r="D775" s="1">
        <v>89183</v>
      </c>
      <c r="E775" s="1">
        <v>1100</v>
      </c>
      <c r="F775" s="1">
        <v>1</v>
      </c>
      <c r="G775" s="1">
        <v>6</v>
      </c>
      <c r="H775" s="1">
        <v>1.2344999999999999</v>
      </c>
      <c r="I775" s="1">
        <v>14863.83</v>
      </c>
      <c r="J775" s="1" t="s">
        <v>2860</v>
      </c>
      <c r="K775" s="1">
        <v>36</v>
      </c>
    </row>
    <row r="776" spans="1:11" x14ac:dyDescent="0.3">
      <c r="A776" s="1" t="s">
        <v>2861</v>
      </c>
      <c r="B776" s="1" t="s">
        <v>2862</v>
      </c>
      <c r="C776" s="1" t="s">
        <v>2863</v>
      </c>
      <c r="D776" s="1">
        <v>4703926</v>
      </c>
      <c r="E776" s="1">
        <v>159000</v>
      </c>
      <c r="F776" s="1">
        <v>3084</v>
      </c>
      <c r="G776" s="1">
        <v>371</v>
      </c>
      <c r="H776" s="1">
        <v>3.4457</v>
      </c>
      <c r="I776" s="1">
        <v>12679.05</v>
      </c>
      <c r="J776" s="1" t="s">
        <v>2864</v>
      </c>
      <c r="K776" s="1">
        <v>802</v>
      </c>
    </row>
    <row r="777" spans="1:11" x14ac:dyDescent="0.3">
      <c r="A777" s="1" t="s">
        <v>2865</v>
      </c>
      <c r="B777" s="1" t="s">
        <v>2866</v>
      </c>
      <c r="C777" s="1" t="s">
        <v>2867</v>
      </c>
      <c r="D777" s="1">
        <v>380752</v>
      </c>
      <c r="E777" s="1">
        <v>8800</v>
      </c>
      <c r="F777" s="1">
        <v>352</v>
      </c>
      <c r="G777" s="1">
        <v>4</v>
      </c>
      <c r="H777" s="1">
        <v>2.4037000000000002</v>
      </c>
      <c r="I777" s="1">
        <v>95188</v>
      </c>
      <c r="J777" s="1" t="s">
        <v>2868</v>
      </c>
      <c r="K777" s="1">
        <v>0</v>
      </c>
    </row>
    <row r="778" spans="1:11" x14ac:dyDescent="0.3">
      <c r="A778" s="1" t="s">
        <v>2869</v>
      </c>
      <c r="B778" s="1" t="s">
        <v>2870</v>
      </c>
      <c r="C778" s="1" t="s">
        <v>2404</v>
      </c>
      <c r="D778" s="1">
        <v>906739</v>
      </c>
      <c r="E778" s="1">
        <v>5500</v>
      </c>
      <c r="F778" s="1">
        <v>12</v>
      </c>
      <c r="G778" s="1">
        <v>13</v>
      </c>
      <c r="H778" s="1">
        <v>0.6079</v>
      </c>
      <c r="I778" s="1">
        <v>69749.149999999994</v>
      </c>
      <c r="J778" s="1" t="s">
        <v>2871</v>
      </c>
      <c r="K778" s="1">
        <v>222</v>
      </c>
    </row>
    <row r="779" spans="1:11" x14ac:dyDescent="0.3">
      <c r="A779" s="1" t="s">
        <v>2872</v>
      </c>
      <c r="B779" s="1" t="s">
        <v>2873</v>
      </c>
      <c r="C779" s="1" t="s">
        <v>2874</v>
      </c>
      <c r="D779" s="1">
        <v>577118</v>
      </c>
      <c r="E779" s="1">
        <v>8600</v>
      </c>
      <c r="F779" s="1">
        <v>308</v>
      </c>
      <c r="G779" s="1">
        <v>4</v>
      </c>
      <c r="H779" s="1">
        <v>1.5435000000000001</v>
      </c>
      <c r="I779" s="1">
        <v>144279.5</v>
      </c>
      <c r="J779" s="1" t="s">
        <v>2875</v>
      </c>
      <c r="K779" s="1">
        <v>0</v>
      </c>
    </row>
    <row r="780" spans="1:11" x14ac:dyDescent="0.3">
      <c r="A780" s="1" t="s">
        <v>2876</v>
      </c>
      <c r="B780" s="1" t="s">
        <v>2877</v>
      </c>
      <c r="C780" s="1" t="s">
        <v>2878</v>
      </c>
      <c r="D780" s="1">
        <v>1835385</v>
      </c>
      <c r="E780" s="1">
        <v>31000</v>
      </c>
      <c r="F780" s="1">
        <v>79</v>
      </c>
      <c r="G780" s="1">
        <v>16</v>
      </c>
      <c r="H780" s="1">
        <v>1.6933</v>
      </c>
      <c r="I780" s="1">
        <v>114711.56</v>
      </c>
      <c r="J780" s="1" t="s">
        <v>2879</v>
      </c>
      <c r="K780" s="1">
        <v>148</v>
      </c>
    </row>
    <row r="781" spans="1:11" x14ac:dyDescent="0.3">
      <c r="A781" s="1" t="s">
        <v>2880</v>
      </c>
      <c r="B781" s="1" t="s">
        <v>2881</v>
      </c>
      <c r="C781" s="1" t="s">
        <v>2882</v>
      </c>
      <c r="D781" s="1">
        <v>5693482</v>
      </c>
      <c r="E781" s="1">
        <v>54000</v>
      </c>
      <c r="F781" s="1">
        <v>55</v>
      </c>
      <c r="G781" s="1">
        <v>536</v>
      </c>
      <c r="H781" s="1">
        <v>0.94940000000000002</v>
      </c>
      <c r="I781" s="1">
        <v>10622.17</v>
      </c>
      <c r="J781" s="1" t="s">
        <v>2883</v>
      </c>
      <c r="K781" s="1">
        <v>0</v>
      </c>
    </row>
    <row r="782" spans="1:11" x14ac:dyDescent="0.3">
      <c r="A782" s="1" t="s">
        <v>2884</v>
      </c>
      <c r="B782" s="1" t="s">
        <v>2885</v>
      </c>
      <c r="C782" s="1" t="s">
        <v>2886</v>
      </c>
      <c r="D782" s="1">
        <v>419107</v>
      </c>
      <c r="E782" s="1">
        <v>8900</v>
      </c>
      <c r="F782" s="1">
        <v>69</v>
      </c>
      <c r="G782" s="1">
        <v>6</v>
      </c>
      <c r="H782" s="1">
        <v>2.14</v>
      </c>
      <c r="I782" s="1">
        <v>69851.17</v>
      </c>
      <c r="J782" s="1" t="s">
        <v>2887</v>
      </c>
      <c r="K782" s="1">
        <v>68</v>
      </c>
    </row>
    <row r="783" spans="1:11" x14ac:dyDescent="0.3">
      <c r="A783" s="1" t="s">
        <v>2888</v>
      </c>
      <c r="B783" s="1" t="s">
        <v>2889</v>
      </c>
      <c r="C783" s="1" t="s">
        <v>2697</v>
      </c>
      <c r="D783" s="1">
        <v>1085723</v>
      </c>
      <c r="E783" s="1">
        <v>18000</v>
      </c>
      <c r="F783" s="1">
        <v>187</v>
      </c>
      <c r="G783" s="1">
        <v>6</v>
      </c>
      <c r="H783" s="1">
        <v>1.6751</v>
      </c>
      <c r="I783" s="1">
        <v>180953.83</v>
      </c>
      <c r="J783" s="1" t="s">
        <v>2890</v>
      </c>
      <c r="K783" s="1">
        <v>0</v>
      </c>
    </row>
    <row r="784" spans="1:11" x14ac:dyDescent="0.3">
      <c r="A784" s="1" t="s">
        <v>2891</v>
      </c>
      <c r="B784" s="1" t="s">
        <v>2892</v>
      </c>
      <c r="C784" s="1" t="s">
        <v>2404</v>
      </c>
      <c r="D784" s="1">
        <v>2837877</v>
      </c>
      <c r="E784" s="1">
        <v>20000</v>
      </c>
      <c r="F784" s="1">
        <v>22</v>
      </c>
      <c r="G784" s="1">
        <v>17</v>
      </c>
      <c r="H784" s="1">
        <v>0.70550000000000002</v>
      </c>
      <c r="I784" s="1">
        <v>166933.94</v>
      </c>
      <c r="J784" s="1" t="s">
        <v>2893</v>
      </c>
      <c r="K784" s="1">
        <v>203</v>
      </c>
    </row>
    <row r="785" spans="1:11" x14ac:dyDescent="0.3">
      <c r="A785" s="1" t="s">
        <v>2894</v>
      </c>
      <c r="B785" s="1" t="s">
        <v>2895</v>
      </c>
      <c r="C785" s="1" t="s">
        <v>2896</v>
      </c>
      <c r="D785" s="1">
        <v>78000</v>
      </c>
      <c r="E785" s="1">
        <v>315</v>
      </c>
      <c r="F785" s="1">
        <v>1</v>
      </c>
      <c r="G785" s="1">
        <v>7</v>
      </c>
      <c r="H785" s="1">
        <v>0.40510000000000002</v>
      </c>
      <c r="I785" s="1">
        <v>11142.86</v>
      </c>
      <c r="J785" s="1" t="s">
        <v>2897</v>
      </c>
      <c r="K785" s="1">
        <v>417</v>
      </c>
    </row>
    <row r="786" spans="1:11" x14ac:dyDescent="0.3">
      <c r="A786" s="1" t="s">
        <v>2898</v>
      </c>
      <c r="B786" s="1" t="s">
        <v>2899</v>
      </c>
      <c r="C786" s="1" t="s">
        <v>324</v>
      </c>
      <c r="D786" s="1">
        <v>4632533</v>
      </c>
      <c r="E786" s="1">
        <v>83000</v>
      </c>
      <c r="F786" s="1">
        <v>295</v>
      </c>
      <c r="G786" s="1">
        <v>475</v>
      </c>
      <c r="H786" s="1">
        <v>1.798</v>
      </c>
      <c r="I786" s="1">
        <v>9752.7000000000007</v>
      </c>
      <c r="J786" s="1" t="s">
        <v>2900</v>
      </c>
      <c r="K786" s="1">
        <v>0</v>
      </c>
    </row>
    <row r="787" spans="1:11" x14ac:dyDescent="0.3">
      <c r="A787" s="1" t="s">
        <v>2901</v>
      </c>
      <c r="B787" s="1" t="s">
        <v>2306</v>
      </c>
      <c r="C787" s="1" t="s">
        <v>2307</v>
      </c>
      <c r="D787" s="1">
        <v>1557133</v>
      </c>
      <c r="E787" s="1">
        <v>20000</v>
      </c>
      <c r="F787" s="1">
        <v>146</v>
      </c>
      <c r="G787" s="1">
        <v>7</v>
      </c>
      <c r="H787" s="1">
        <v>1.2938000000000001</v>
      </c>
      <c r="I787" s="1">
        <v>222447.57</v>
      </c>
      <c r="J787" s="1" t="s">
        <v>2902</v>
      </c>
      <c r="K787" s="1">
        <v>653</v>
      </c>
    </row>
    <row r="788" spans="1:11" x14ac:dyDescent="0.3">
      <c r="A788" s="1" t="s">
        <v>2903</v>
      </c>
      <c r="B788" s="1" t="s">
        <v>2904</v>
      </c>
      <c r="C788" s="1" t="s">
        <v>2905</v>
      </c>
      <c r="D788" s="1">
        <v>1937243</v>
      </c>
      <c r="E788" s="1">
        <v>46000</v>
      </c>
      <c r="F788" s="1">
        <v>113</v>
      </c>
      <c r="G788" s="1">
        <v>6</v>
      </c>
      <c r="H788" s="1">
        <v>2.3803000000000001</v>
      </c>
      <c r="I788" s="1">
        <v>322873.83</v>
      </c>
      <c r="J788" s="1" t="s">
        <v>2906</v>
      </c>
      <c r="K788" s="1">
        <v>0</v>
      </c>
    </row>
    <row r="789" spans="1:11" x14ac:dyDescent="0.3">
      <c r="A789" s="1" t="s">
        <v>2907</v>
      </c>
      <c r="B789" s="1" t="s">
        <v>2908</v>
      </c>
      <c r="C789" s="1" t="s">
        <v>2909</v>
      </c>
      <c r="D789" s="1">
        <v>75557</v>
      </c>
      <c r="E789" s="1">
        <v>1400</v>
      </c>
      <c r="F789" s="1">
        <v>18</v>
      </c>
      <c r="G789" s="1">
        <v>6</v>
      </c>
      <c r="H789" s="1">
        <v>1.8767</v>
      </c>
      <c r="I789" s="1">
        <v>12592.83</v>
      </c>
      <c r="J789" s="1" t="s">
        <v>2910</v>
      </c>
      <c r="K789" s="1">
        <v>0</v>
      </c>
    </row>
    <row r="790" spans="1:11" x14ac:dyDescent="0.3">
      <c r="A790" s="1" t="s">
        <v>2911</v>
      </c>
      <c r="B790" s="1" t="s">
        <v>2912</v>
      </c>
      <c r="C790" s="1" t="s">
        <v>1886</v>
      </c>
      <c r="D790" s="1">
        <v>462513</v>
      </c>
      <c r="E790" s="1">
        <v>2800</v>
      </c>
      <c r="F790" s="1">
        <v>3</v>
      </c>
      <c r="G790" s="1">
        <v>7</v>
      </c>
      <c r="H790" s="1">
        <v>0.60599999999999998</v>
      </c>
      <c r="I790" s="1">
        <v>66073.289999999994</v>
      </c>
      <c r="J790" s="1" t="s">
        <v>2913</v>
      </c>
      <c r="K790" s="1">
        <v>0</v>
      </c>
    </row>
    <row r="791" spans="1:11" x14ac:dyDescent="0.3">
      <c r="A791" s="1" t="s">
        <v>2914</v>
      </c>
      <c r="B791" s="1" t="s">
        <v>2915</v>
      </c>
      <c r="C791" s="1" t="s">
        <v>2916</v>
      </c>
      <c r="D791" s="1">
        <v>190835</v>
      </c>
      <c r="E791" s="1">
        <v>2700</v>
      </c>
      <c r="F791" s="1">
        <v>11</v>
      </c>
      <c r="G791" s="1">
        <v>11</v>
      </c>
      <c r="H791" s="1">
        <v>1.4206000000000001</v>
      </c>
      <c r="I791" s="1">
        <v>17348.64</v>
      </c>
      <c r="J791" s="1" t="s">
        <v>2917</v>
      </c>
      <c r="K791" s="1">
        <v>0</v>
      </c>
    </row>
    <row r="792" spans="1:11" x14ac:dyDescent="0.3">
      <c r="A792" s="1" t="s">
        <v>2918</v>
      </c>
      <c r="B792" s="1" t="s">
        <v>2919</v>
      </c>
      <c r="C792" s="1" t="s">
        <v>2920</v>
      </c>
      <c r="D792" s="1">
        <v>2116657</v>
      </c>
      <c r="E792" s="1">
        <v>52000</v>
      </c>
      <c r="F792" s="1">
        <v>214</v>
      </c>
      <c r="G792" s="1">
        <v>4</v>
      </c>
      <c r="H792" s="1">
        <v>2.4668000000000001</v>
      </c>
      <c r="I792" s="1">
        <v>529164.25</v>
      </c>
      <c r="J792" s="1" t="s">
        <v>2921</v>
      </c>
      <c r="K792" s="1">
        <v>588</v>
      </c>
    </row>
    <row r="793" spans="1:11" x14ac:dyDescent="0.3">
      <c r="A793" s="1" t="s">
        <v>2922</v>
      </c>
      <c r="B793" s="1" t="s">
        <v>2923</v>
      </c>
      <c r="C793" s="1" t="s">
        <v>2724</v>
      </c>
      <c r="D793" s="1">
        <v>3960279</v>
      </c>
      <c r="E793" s="1">
        <v>80000</v>
      </c>
      <c r="F793" s="1">
        <v>267</v>
      </c>
      <c r="G793" s="1">
        <v>8</v>
      </c>
      <c r="H793" s="1">
        <v>2.0268000000000002</v>
      </c>
      <c r="I793" s="1">
        <v>495034.88</v>
      </c>
      <c r="J793" s="1" t="s">
        <v>2924</v>
      </c>
      <c r="K793" s="1">
        <v>0</v>
      </c>
    </row>
    <row r="794" spans="1:11" x14ac:dyDescent="0.3">
      <c r="A794" s="1" t="s">
        <v>2925</v>
      </c>
      <c r="B794" s="1" t="s">
        <v>2926</v>
      </c>
      <c r="C794" s="1" t="s">
        <v>2425</v>
      </c>
      <c r="D794" s="1">
        <v>613467</v>
      </c>
      <c r="E794" s="1">
        <v>19000</v>
      </c>
      <c r="F794" s="1">
        <v>86</v>
      </c>
      <c r="G794" s="1">
        <v>9</v>
      </c>
      <c r="H794" s="1">
        <v>3.1112000000000002</v>
      </c>
      <c r="I794" s="1">
        <v>68163</v>
      </c>
      <c r="J794" s="1" t="s">
        <v>2927</v>
      </c>
      <c r="K794" s="1">
        <v>58</v>
      </c>
    </row>
    <row r="795" spans="1:11" x14ac:dyDescent="0.3">
      <c r="A795" s="1" t="s">
        <v>2928</v>
      </c>
      <c r="B795" s="1" t="s">
        <v>2929</v>
      </c>
      <c r="C795" s="1" t="s">
        <v>2799</v>
      </c>
      <c r="D795" s="1">
        <v>400016</v>
      </c>
      <c r="E795" s="1">
        <v>2800</v>
      </c>
      <c r="F795" s="1">
        <v>15</v>
      </c>
      <c r="G795" s="1">
        <v>7</v>
      </c>
      <c r="H795" s="1">
        <v>0.70369999999999999</v>
      </c>
      <c r="I795" s="1">
        <v>57145.14</v>
      </c>
      <c r="J795" s="1" t="s">
        <v>2930</v>
      </c>
      <c r="K795" s="1">
        <v>26</v>
      </c>
    </row>
    <row r="796" spans="1:11" x14ac:dyDescent="0.3">
      <c r="A796" s="1" t="s">
        <v>2931</v>
      </c>
      <c r="B796" s="1" t="s">
        <v>2932</v>
      </c>
      <c r="C796" s="1" t="s">
        <v>2533</v>
      </c>
      <c r="D796" s="1">
        <v>18441672</v>
      </c>
      <c r="E796" s="1">
        <v>101000</v>
      </c>
      <c r="F796" s="1">
        <v>290</v>
      </c>
      <c r="G796" s="1">
        <v>10</v>
      </c>
      <c r="H796" s="1">
        <v>0.54920000000000002</v>
      </c>
      <c r="I796" s="1">
        <v>1844167.2</v>
      </c>
      <c r="J796" s="1" t="s">
        <v>2933</v>
      </c>
      <c r="K796" s="1">
        <v>0</v>
      </c>
    </row>
    <row r="797" spans="1:11" x14ac:dyDescent="0.3">
      <c r="A797" s="1" t="s">
        <v>2934</v>
      </c>
      <c r="B797" s="1" t="s">
        <v>2935</v>
      </c>
      <c r="C797" s="1" t="s">
        <v>2501</v>
      </c>
      <c r="D797" s="1">
        <v>423583</v>
      </c>
      <c r="E797" s="1">
        <v>11000</v>
      </c>
      <c r="F797" s="1">
        <v>34</v>
      </c>
      <c r="G797" s="1">
        <v>4</v>
      </c>
      <c r="H797" s="1">
        <v>2.6049000000000002</v>
      </c>
      <c r="I797" s="1">
        <v>105895.75</v>
      </c>
      <c r="J797" s="1" t="s">
        <v>2936</v>
      </c>
      <c r="K797" s="1">
        <v>551</v>
      </c>
    </row>
    <row r="798" spans="1:11" x14ac:dyDescent="0.3">
      <c r="A798" s="1" t="s">
        <v>2937</v>
      </c>
      <c r="B798" s="1" t="s">
        <v>2938</v>
      </c>
      <c r="C798" s="1" t="s">
        <v>2404</v>
      </c>
      <c r="D798" s="1">
        <v>3130177</v>
      </c>
      <c r="E798" s="1">
        <v>21000</v>
      </c>
      <c r="F798" s="1">
        <v>24</v>
      </c>
      <c r="G798" s="1">
        <v>8</v>
      </c>
      <c r="H798" s="1">
        <v>0.67169999999999996</v>
      </c>
      <c r="I798" s="1">
        <v>391272.12</v>
      </c>
      <c r="J798" s="1" t="s">
        <v>2939</v>
      </c>
      <c r="K798" s="1">
        <v>196</v>
      </c>
    </row>
    <row r="799" spans="1:11" x14ac:dyDescent="0.3">
      <c r="A799" s="1" t="s">
        <v>2940</v>
      </c>
      <c r="B799" s="1" t="s">
        <v>2941</v>
      </c>
      <c r="C799" s="1" t="s">
        <v>2468</v>
      </c>
      <c r="D799" s="1">
        <v>2876542</v>
      </c>
      <c r="E799" s="1">
        <v>34000</v>
      </c>
      <c r="F799" s="1">
        <v>234</v>
      </c>
      <c r="G799" s="1">
        <v>8</v>
      </c>
      <c r="H799" s="1">
        <v>1.1900999999999999</v>
      </c>
      <c r="I799" s="1">
        <v>359567.75</v>
      </c>
      <c r="J799" s="1" t="s">
        <v>2942</v>
      </c>
      <c r="K799" s="1">
        <v>0</v>
      </c>
    </row>
    <row r="800" spans="1:11" x14ac:dyDescent="0.3">
      <c r="A800" s="1" t="s">
        <v>2943</v>
      </c>
      <c r="B800" s="1" t="s">
        <v>2944</v>
      </c>
      <c r="C800" s="1" t="s">
        <v>2945</v>
      </c>
      <c r="D800" s="1">
        <v>2685014</v>
      </c>
      <c r="E800" s="1">
        <v>53000</v>
      </c>
      <c r="F800" s="1">
        <v>276</v>
      </c>
      <c r="G800" s="1">
        <v>6</v>
      </c>
      <c r="H800" s="1">
        <v>1.9842</v>
      </c>
      <c r="I800" s="1">
        <v>447502.33</v>
      </c>
      <c r="J800" s="1" t="s">
        <v>2946</v>
      </c>
      <c r="K800" s="1">
        <v>119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YouTube_Shorts_Engagement_and_G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sargam</dc:creator>
  <cp:lastModifiedBy>sargampuri04@gmail.com</cp:lastModifiedBy>
  <dcterms:created xsi:type="dcterms:W3CDTF">2026-03-27T11:12:20Z</dcterms:created>
  <dcterms:modified xsi:type="dcterms:W3CDTF">2026-03-27T11:12:20Z</dcterms:modified>
</cp:coreProperties>
</file>